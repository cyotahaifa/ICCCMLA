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44" sheetId="1" state="visible" r:id="rId3"/>
  </sheets>
  <definedNames>
    <definedName function="false" hidden="false" localSheetId="0" name="_xlnm.Print_Titles" vbProcedure="false">'Session 44'!$10:$10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<sst xmlns="http://schemas.openxmlformats.org/spreadsheetml/2006/main" count="58" uniqueCount="58">
  <si>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</si>
  <si>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</si>
  <si>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</si>
  <si>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44 - Representation Learning, Generative and Numerical Methods</t>
  </si>
  <si>
    <t xml:space="preserve">Date and time</t>
  </si>
  <si>
    <t xml:space="preserve">Tuesday, 6 October 2026, 11:25-12:37 IST (Room K)</t>
  </si>
  <si>
    <t xml:space="preserve">Session chair</t>
  </si>
  <si>
    <t xml:space="preserve">Vanaganti Srikanth Kumar</t>
  </si>
  <si>
    <t xml:space="preserve">Co-chair</t>
  </si>
  <si>
    <t xml:space="preserve">Dr. Sarla More</t>
  </si>
  <si>
    <t xml:space="preserve">Joining link</t>
  </si>
  <si>
    <t xml:space="preserve">https://meet.google.com/hzo-zrws-sxi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</si>
  <si>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</si>
  <si>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</si>
  <si>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</si>
  <si>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</si>
  <si>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</si>
  <si>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</si>
  <si>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</si>
  <si>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</si>
  <si>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</si>
  <si>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</si>
  <si>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</si>
  <si>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</si>
  <si>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11:25-11:37</t>
  </si>
  <si>
    <t xml:space="preserve">366982</t>
  </si>
  <si>
    <t xml:space="preserve">Deep Learning-Based Numerical Computing Architecture for Complex Applied Mathematical Systems</t>
  </si>
  <si>
    <t xml:space="preserve">11:37-11:49</t>
  </si>
  <si>
    <t xml:space="preserve">581843</t>
  </si>
  <si>
    <t xml:space="preserve">A Novel Evolutionary Framework for Real-Time Synthesis of High-Dimensional Data</t>
  </si>
  <si>
    <t xml:space="preserve">11:49-12:01</t>
  </si>
  <si>
    <t xml:space="preserve">699697</t>
  </si>
  <si>
    <t xml:space="preserve">Sparse Manifold-Constrained Representation Learning for Efficient Low-Dimensional Neural Embeddings</t>
  </si>
  <si>
    <t xml:space="preserve">12:01-12:13</t>
  </si>
  <si>
    <t xml:space="preserve">950457</t>
  </si>
  <si>
    <t xml:space="preserve">Designing Robust Decision-Making Systems Using Adaptive Probabilistic Inference for High-Noise Environments</t>
  </si>
  <si>
    <t xml:space="preserve">12:13-12:25</t>
  </si>
  <si>
    <t xml:space="preserve">565194</t>
  </si>
  <si>
    <t xml:space="preserve">Intelligent Art Generation Using Transformer-Based Generative Systems With Style Transfer</t>
  </si>
  <si>
    <t xml:space="preserve">12:25-12:37</t>
  </si>
  <si>
    <t xml:space="preserve">836143</t>
  </si>
  <si>
    <t xml:space="preserve">DYNAMIC REWARD TOPOLOGY: SELF-SUPERVISED TRAJECTORY GENERATION FOR SPARSE-REWARD MULTI-AGENT REINFORCEMENT LEARNING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</si>
  <si>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</si>
  <si>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</si>
  <si>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</si>
  <si>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</si>
  <si>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</si>
  <si>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</si>
  <si>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</si>
  <si>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</si>
  <si>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</si>
  <si>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</si>
  <si>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</si>
  <si>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</si>
  <si>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</si>
  <si>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</si>
  <si>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</si>
  <si>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44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</si>
</sst>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FFF2CC"/>
        <bgColor rgb="FFFFFFFF"/>
      </patternFill>
    </fill>
    <fill>
      <patternFill patternType="solid">
        <fgColor rgb="FFE3EF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24" hidden="false" customHeight="false" outlineLevel="0" collapsed="false">
      <c r="A11" s="6" t="n">
        <v>1</v>
      </c>
      <c r="B11" s="6" t="s">
        <v>24</v>
      </c>
      <c r="C11" s="7" t="s">
        <v>25</v>
      </c>
      <c r="D11" s="8" t="s">
        <v>26</v>
      </c>
      <c r="E11" s="9"/>
      <c r="F11" s="10"/>
      <c r="G11" s="9"/>
      <c r="H11" s="9"/>
      <c r="I11" s="9"/>
      <c r="J11" s="11" t="str">
        <f aca="false">IF(COUNT(G11:I11)=0,"",SUM(G11:I11))</f>
        <v/>
      </c>
      <c r="K11" s="9"/>
      <c r="L11" s="10"/>
    </row>
    <row r="12" customFormat="false" ht="24" hidden="false" customHeight="false" outlineLevel="0" collapsed="false">
      <c r="A12" s="6" t="n">
        <v>2</v>
      </c>
      <c r="B12" s="6" t="s">
        <v>27</v>
      </c>
      <c r="C12" s="7" t="s">
        <v>28</v>
      </c>
      <c r="D12" s="8" t="s">
        <v>29</v>
      </c>
      <c r="E12" s="9"/>
      <c r="F12" s="10"/>
      <c r="G12" s="9"/>
      <c r="H12" s="9"/>
      <c r="I12" s="9"/>
      <c r="J12" s="11" t="str">
        <f aca="false">IF(COUNT(G12:I12)=0,"",SUM(G12:I12))</f>
        <v/>
      </c>
      <c r="K12" s="9"/>
      <c r="L12" s="10"/>
    </row>
    <row r="13" customFormat="false" ht="24" hidden="false" customHeight="false" outlineLevel="0" collapsed="false">
      <c r="A13" s="6" t="n">
        <v>3</v>
      </c>
      <c r="B13" s="6" t="s">
        <v>30</v>
      </c>
      <c r="C13" s="7" t="s">
        <v>31</v>
      </c>
      <c r="D13" s="8" t="s">
        <v>32</v>
      </c>
      <c r="E13" s="9"/>
      <c r="F13" s="10"/>
      <c r="G13" s="9"/>
      <c r="H13" s="9"/>
      <c r="I13" s="9"/>
      <c r="J13" s="11" t="str">
        <f aca="false">IF(COUNT(G13:I13)=0,"",SUM(G13:I13))</f>
        <v/>
      </c>
      <c r="K13" s="9"/>
      <c r="L13" s="10"/>
    </row>
    <row r="14" customFormat="false" ht="24" hidden="false" customHeight="false" outlineLevel="0" collapsed="false">
      <c r="A14" s="6" t="n">
        <v>4</v>
      </c>
      <c r="B14" s="6" t="s">
        <v>33</v>
      </c>
      <c r="C14" s="7" t="s">
        <v>34</v>
      </c>
      <c r="D14" s="8" t="s">
        <v>35</v>
      </c>
      <c r="E14" s="9"/>
      <c r="F14" s="10"/>
      <c r="G14" s="9"/>
      <c r="H14" s="9"/>
      <c r="I14" s="9"/>
      <c r="J14" s="11" t="str">
        <f aca="false">IF(COUNT(G14:I14)=0,"",SUM(G14:I14))</f>
        <v/>
      </c>
      <c r="K14" s="9"/>
      <c r="L14" s="10"/>
    </row>
    <row r="15" customFormat="false" ht="24" hidden="false" customHeight="false" outlineLevel="0" collapsed="false">
      <c r="A15" s="6" t="n">
        <v>5</v>
      </c>
      <c r="B15" s="6" t="s">
        <v>36</v>
      </c>
      <c r="C15" s="7" t="s">
        <v>37</v>
      </c>
      <c r="D15" s="8" t="s">
        <v>38</v>
      </c>
      <c r="E15" s="9"/>
      <c r="F15" s="10"/>
      <c r="G15" s="9"/>
      <c r="H15" s="9"/>
      <c r="I15" s="9"/>
      <c r="J15" s="11" t="str">
        <f aca="false">IF(COUNT(G15:I15)=0,"",SUM(G15:I15))</f>
        <v/>
      </c>
      <c r="K15" s="9"/>
      <c r="L15" s="10"/>
    </row>
    <row r="16" customFormat="false" ht="35" hidden="false" customHeight="false" outlineLevel="0" collapsed="false">
      <c r="A16" s="6" t="n">
        <v>6</v>
      </c>
      <c r="B16" s="6" t="s">
        <v>39</v>
      </c>
      <c r="C16" s="7" t="s">
        <v>40</v>
      </c>
      <c r="D16" s="8" t="s">
        <v>41</v>
      </c>
      <c r="E16" s="9"/>
      <c r="F16" s="10"/>
      <c r="G16" s="9"/>
      <c r="H16" s="9"/>
      <c r="I16" s="9"/>
      <c r="J16" s="11" t="str">
        <f aca="false">IF(COUNT(G16:I16)=0,"",SUM(G16:I16))</f>
        <v/>
      </c>
      <c r="K16" s="9"/>
      <c r="L16" s="10"/>
    </row>
    <row r="18" customFormat="false" ht="15" hidden="false" customHeight="false" outlineLevel="0" collapsed="false">
      <c r="C18" s="3" t="s">
        <v>42</v>
      </c>
      <c r="D18" s="3"/>
      <c r="E18" s="12" t="n">
        <f aca="false">COUNTA(C11:C16)</f>
        <v>6</v>
      </c>
    </row>
    <row r="19" customFormat="false" ht="15" hidden="false" customHeight="false" outlineLevel="0" collapsed="false">
      <c r="C19" s="3" t="s">
        <v>43</v>
      </c>
      <c r="D19" s="3"/>
      <c r="E19" s="12" t="n">
        <f aca="false">COUNTIF(E11:E16,"Present")</f>
        <v>0</v>
      </c>
    </row>
    <row r="20" customFormat="false" ht="15" hidden="false" customHeight="false" outlineLevel="0" collapsed="false">
      <c r="C20" s="3" t="s">
        <v>44</v>
      </c>
      <c r="D20" s="3"/>
      <c r="E20" s="12" t="n">
        <f aca="false">COUNTIF(E11:E16,"Late")</f>
        <v>0</v>
      </c>
    </row>
    <row r="21" customFormat="false" ht="15" hidden="false" customHeight="false" outlineLevel="0" collapsed="false">
      <c r="C21" s="3" t="s">
        <v>45</v>
      </c>
      <c r="D21" s="3"/>
      <c r="E21" s="12" t="n">
        <f aca="false">COUNTIF(E11:E16,"Absent")</f>
        <v>0</v>
      </c>
    </row>
    <row r="22" customFormat="false" ht="15" hidden="false" customHeight="false" outlineLevel="0" collapsed="false">
      <c r="C22" s="3" t="s">
        <v>46</v>
      </c>
      <c r="D22" s="3"/>
      <c r="E22" s="12" t="n">
        <f aca="false">COUNTA(C11:C16)-COUNTA(E11:E16)</f>
        <v>6</v>
      </c>
    </row>
    <row r="23" customFormat="false" ht="15" hidden="false" customHeight="false" outlineLevel="0" collapsed="false">
      <c r="C23" s="3" t="s">
        <v>47</v>
      </c>
      <c r="D23" s="3"/>
      <c r="E23" s="12" t="n">
        <f aca="false">COUNTIF(K11:K16,"Yes")</f>
        <v>0</v>
      </c>
    </row>
    <row r="25" customFormat="false" ht="15" hidden="false" customHeight="false" outlineLevel="0" collapsed="false">
      <c r="A25" s="3" t="s">
        <v>48</v>
      </c>
      <c r="B25" s="3"/>
      <c r="C25" s="3"/>
      <c r="D25" s="13"/>
      <c r="E25" s="13"/>
      <c r="F25" s="13"/>
      <c r="G25" s="13"/>
      <c r="H25" s="13"/>
    </row>
    <row r="26" customFormat="false" ht="15" hidden="false" customHeight="false" outlineLevel="0" collapsed="false">
      <c r="A26" s="3" t="s">
        <v>49</v>
      </c>
      <c r="B26" s="3"/>
      <c r="C26" s="3"/>
      <c r="D26" s="13"/>
      <c r="E26" s="13"/>
      <c r="F26" s="13"/>
      <c r="G26" s="13"/>
      <c r="H26" s="13"/>
    </row>
    <row r="27" customFormat="false" ht="15" hidden="false" customHeight="false" outlineLevel="0" collapsed="false">
      <c r="A27" s="3" t="s">
        <v>50</v>
      </c>
      <c r="B27" s="3"/>
      <c r="C27" s="3"/>
      <c r="D27" s="13"/>
      <c r="E27" s="13"/>
      <c r="F27" s="13"/>
      <c r="G27" s="13"/>
      <c r="H27" s="13"/>
    </row>
    <row r="28" customFormat="false" ht="15" hidden="false" customHeight="false" outlineLevel="0" collapsed="false">
      <c r="A28" s="3" t="s">
        <v>51</v>
      </c>
      <c r="B28" s="3"/>
      <c r="C28" s="3"/>
      <c r="D28" s="13"/>
      <c r="E28" s="13"/>
      <c r="F28" s="13"/>
      <c r="G28" s="13"/>
      <c r="H28" s="13"/>
    </row>
    <row r="29" customFormat="false" ht="39.75" hidden="false" customHeight="true" outlineLevel="0" collapsed="false">
      <c r="A29" s="3" t="s">
        <v>52</v>
      </c>
      <c r="B29" s="3"/>
      <c r="C29" s="3"/>
      <c r="D29" s="13"/>
      <c r="E29" s="13"/>
      <c r="F29" s="13"/>
      <c r="G29" s="13"/>
      <c r="H29" s="13"/>
    </row>
    <row r="31" customFormat="false" ht="25.5" hidden="false" customHeight="true" outlineLevel="0" collapsed="false">
      <c r="A31" s="14" t="s">
        <v>53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</row>
    <row r="32" customFormat="false" ht="25.5" hidden="false" customHeight="true" outlineLevel="0" collapsed="false">
      <c r="A32" s="14" t="s">
        <v>54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customFormat="false" ht="25.5" hidden="false" customHeight="true" outlineLevel="0" collapsed="false">
      <c r="A33" s="14" t="s">
        <v>55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customFormat="false" ht="25.5" hidden="false" customHeight="true" outlineLevel="0" collapsed="false">
      <c r="A34" s="14" t="s">
        <v>56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customFormat="false" ht="25.5" hidden="false" customHeight="true" outlineLevel="0" collapsed="false">
      <c r="A35" s="14" t="s">
        <v>57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18:D18"/>
    <mergeCell ref="C19:D19"/>
    <mergeCell ref="C20:D20"/>
    <mergeCell ref="C21:D21"/>
    <mergeCell ref="C22:D22"/>
    <mergeCell ref="C23:D23"/>
    <mergeCell ref="A25:C25"/>
    <mergeCell ref="D25:H25"/>
    <mergeCell ref="A26:C26"/>
    <mergeCell ref="D26:H26"/>
    <mergeCell ref="A27:C27"/>
    <mergeCell ref="D27:H27"/>
    <mergeCell ref="A28:C28"/>
    <mergeCell ref="D28:H28"/>
    <mergeCell ref="A29:C29"/>
    <mergeCell ref="D29:H29"/>
    <mergeCell ref="A31:L31"/>
    <mergeCell ref="A32:L32"/>
    <mergeCell ref="A33:L33"/>
    <mergeCell ref="A34:L34"/>
    <mergeCell ref="A35:L35"/>
  </mergeCells>
  <dataValidations count="3">
    <dataValidation allowBlank="true" errorStyle="stop" operator="between" showDropDown="false" showErrorMessage="false" showInputMessage="false" sqref="E11:E16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6" type="whole">
      <formula1>0</formula1>
      <formula2>10</formula2>
    </dataValidation>
    <dataValidation allowBlank="true" errorStyle="stop" operator="between" showDropDown="false" showErrorMessage="false" showInputMessage="false" sqref="K11:K1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2026-10-04T13:26:49Z</dcterms:created>
  <dc:creator>openpyxl</dc:creator>
  <dc:description/>
  <dc:language>en-US</dc:language>
  <cp:lastModifiedBy/>
  <dcterms:modified xsi:type="dcterms:W3CDTF">2026-10-04T13:26:49Z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