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11" sheetId="1" state="visible" r:id="rId3"/>
  </sheets>
  <definedNames>
    <definedName function="false" hidden="false" localSheetId="0" name="_xlnm.Print_Titles" vbProcedure="false">'Session 11'!$10:$10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<sst xmlns="http://schemas.openxmlformats.org/spreadsheetml/2006/main" count="64" uniqueCount="64">
  <si>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</si>
  <si>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</si>
  <si>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</si>
  <si>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11 - Predictive Health Analytics and Precision Medicine</t>
  </si>
  <si>
    <t xml:space="preserve">Date and time</t>
  </si>
  <si>
    <t xml:space="preserve">Monday, 5 October 2026, 12:25-14:01 IST (Room E)</t>
  </si>
  <si>
    <t xml:space="preserve">Session chair</t>
  </si>
  <si>
    <t xml:space="preserve">M. Naveen Kumar</t>
  </si>
  <si>
    <t xml:space="preserve">Co-chair</t>
  </si>
  <si>
    <t xml:space="preserve">-</t>
  </si>
  <si>
    <t xml:space="preserve">Joining link</t>
  </si>
  <si>
    <t xml:space="preserve">https://meet.google.com/bvc-xxar-xsd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</si>
  <si>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</si>
  <si>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</si>
  <si>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</si>
  <si>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</si>
  <si>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</si>
  <si>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</si>
  <si>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</si>
  <si>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</si>
  <si>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</si>
  <si>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</si>
  <si>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</si>
  <si>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</si>
  <si>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12:25-12:37</t>
  </si>
  <si>
    <t xml:space="preserve">600847</t>
  </si>
  <si>
    <t xml:space="preserve">TAC-CMT: Task-Aligned Constraint-Mirror-Teacher Imputation for Incomplete ClinVar Variant Records</t>
  </si>
  <si>
    <t xml:space="preserve">12:37-12:49</t>
  </si>
  <si>
    <t xml:space="preserve">238081</t>
  </si>
  <si>
    <t xml:space="preserve">A Framework for Type II Diabetes Detection From PFCM Feature Extraction and Metaheuristic Feature Selection Using Microarray Gene</t>
  </si>
  <si>
    <t xml:space="preserve">12:49-13:01</t>
  </si>
  <si>
    <t xml:space="preserve">038975</t>
  </si>
  <si>
    <t xml:space="preserve">Hybrid RF-ET-MLP Ensemble Framework for Division-Wise Dengue Case Prediction in Bangladesh</t>
  </si>
  <si>
    <t xml:space="preserve">13:01-13:13</t>
  </si>
  <si>
    <t xml:space="preserve">051471</t>
  </si>
  <si>
    <t xml:space="preserve">Post-COVID Cardiac Risk Prediction Using Ensemble Machine Learning With SHAP-Based Explainability</t>
  </si>
  <si>
    <t xml:space="preserve">13:13-13:25</t>
  </si>
  <si>
    <t xml:space="preserve">769601</t>
  </si>
  <si>
    <t xml:space="preserve">Recent Advances in Multimodal Deep Learning for Cardiovascular Disease Prediction</t>
  </si>
  <si>
    <t xml:space="preserve">13:25-13:37</t>
  </si>
  <si>
    <t xml:space="preserve">203408</t>
  </si>
  <si>
    <t xml:space="preserve">Differentially Private Federated Graph Attention Networks for Explainable Crohn's Disease Prediction From Whole-Exome Sequencing</t>
  </si>
  <si>
    <t xml:space="preserve">13:37-13:49</t>
  </si>
  <si>
    <t xml:space="preserve">755597</t>
  </si>
  <si>
    <t xml:space="preserve">Blockchain Adaptive Zero-Trust Federated Edge AI Frameworks for Intelligent Healthcare Monitoring Systems: A Comprehensive Review</t>
  </si>
  <si>
    <t xml:space="preserve">13:49-14:01</t>
  </si>
  <si>
    <t xml:space="preserve">366469</t>
  </si>
  <si>
    <t xml:space="preserve">AMRNet: A Modality Resilient Lightweight Network for Joint Glioma Segmentation and Grading under Incomplete Multimodal MRI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</si>
  <si>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</si>
  <si>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</si>
  <si>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</si>
  <si>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</si>
  <si>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</si>
  <si>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</si>
  <si>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</si>
  <si>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</si>
  <si>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</si>
  <si>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</si>
  <si>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</si>
  <si>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</si>
  <si>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</si>
  <si>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</si>
  <si>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</si>
  <si>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11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</si>
</sst>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35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35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7" customFormat="false" ht="35" hidden="false" customHeight="false" outlineLevel="0" collapsed="false">
      <c r="A17" s="6" t="n">
        <v>7</v>
      </c>
      <c r="B17" s="6" t="s">
        <v>42</v>
      </c>
      <c r="C17" s="7" t="s">
        <v>43</v>
      </c>
      <c r="D17" s="8" t="s">
        <v>44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8" customFormat="false" ht="35" hidden="false" customHeight="false" outlineLevel="0" collapsed="false">
      <c r="A18" s="6" t="n">
        <v>8</v>
      </c>
      <c r="B18" s="6" t="s">
        <v>45</v>
      </c>
      <c r="C18" s="7" t="s">
        <v>46</v>
      </c>
      <c r="D18" s="8" t="s">
        <v>47</v>
      </c>
      <c r="E18" s="9"/>
      <c r="F18" s="10"/>
      <c r="G18" s="9"/>
      <c r="H18" s="9"/>
      <c r="I18" s="9"/>
      <c r="J18" s="11" t="str">
        <f aca="false">IF(COUNT(G18:I18)=0,"",SUM(G18:I18))</f>
        <v/>
      </c>
      <c r="K18" s="9"/>
      <c r="L18" s="10"/>
    </row>
    <row r="20" customFormat="false" ht="15" hidden="false" customHeight="false" outlineLevel="0" collapsed="false">
      <c r="C20" s="3" t="s">
        <v>48</v>
      </c>
      <c r="D20" s="3"/>
      <c r="E20" s="12" t="n">
        <f aca="false">COUNTA(C11:C18)</f>
        <v>8</v>
      </c>
    </row>
    <row r="21" customFormat="false" ht="15" hidden="false" customHeight="false" outlineLevel="0" collapsed="false">
      <c r="C21" s="3" t="s">
        <v>49</v>
      </c>
      <c r="D21" s="3"/>
      <c r="E21" s="12" t="n">
        <f aca="false">COUNTIF(E11:E18,"Present")</f>
        <v>0</v>
      </c>
    </row>
    <row r="22" customFormat="false" ht="15" hidden="false" customHeight="false" outlineLevel="0" collapsed="false">
      <c r="C22" s="3" t="s">
        <v>50</v>
      </c>
      <c r="D22" s="3"/>
      <c r="E22" s="12" t="n">
        <f aca="false">COUNTIF(E11:E18,"Late")</f>
        <v>0</v>
      </c>
    </row>
    <row r="23" customFormat="false" ht="15" hidden="false" customHeight="false" outlineLevel="0" collapsed="false">
      <c r="C23" s="3" t="s">
        <v>51</v>
      </c>
      <c r="D23" s="3"/>
      <c r="E23" s="12" t="n">
        <f aca="false">COUNTIF(E11:E18,"Absent")</f>
        <v>0</v>
      </c>
    </row>
    <row r="24" customFormat="false" ht="15" hidden="false" customHeight="false" outlineLevel="0" collapsed="false">
      <c r="C24" s="3" t="s">
        <v>52</v>
      </c>
      <c r="D24" s="3"/>
      <c r="E24" s="12" t="n">
        <f aca="false">COUNTA(C11:C18)-COUNTA(E11:E18)</f>
        <v>8</v>
      </c>
    </row>
    <row r="25" customFormat="false" ht="15" hidden="false" customHeight="false" outlineLevel="0" collapsed="false">
      <c r="C25" s="3" t="s">
        <v>53</v>
      </c>
      <c r="D25" s="3"/>
      <c r="E25" s="12" t="n">
        <f aca="false">COUNTIF(K11:K18,"Yes")</f>
        <v>0</v>
      </c>
    </row>
    <row r="27" customFormat="false" ht="15" hidden="false" customHeight="false" outlineLevel="0" collapsed="false">
      <c r="A27" s="3" t="s">
        <v>54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55</v>
      </c>
      <c r="B28" s="3"/>
      <c r="C28" s="3"/>
      <c r="D28" s="13"/>
      <c r="E28" s="13"/>
      <c r="F28" s="13"/>
      <c r="G28" s="13"/>
      <c r="H28" s="13"/>
    </row>
    <row r="29" customFormat="false" ht="15" hidden="false" customHeight="false" outlineLevel="0" collapsed="false">
      <c r="A29" s="3" t="s">
        <v>56</v>
      </c>
      <c r="B29" s="3"/>
      <c r="C29" s="3"/>
      <c r="D29" s="13"/>
      <c r="E29" s="13"/>
      <c r="F29" s="13"/>
      <c r="G29" s="13"/>
      <c r="H29" s="13"/>
    </row>
    <row r="30" customFormat="false" ht="15" hidden="false" customHeight="false" outlineLevel="0" collapsed="false">
      <c r="A30" s="3" t="s">
        <v>57</v>
      </c>
      <c r="B30" s="3"/>
      <c r="C30" s="3"/>
      <c r="D30" s="13"/>
      <c r="E30" s="13"/>
      <c r="F30" s="13"/>
      <c r="G30" s="13"/>
      <c r="H30" s="13"/>
    </row>
    <row r="31" customFormat="false" ht="39.75" hidden="false" customHeight="true" outlineLevel="0" collapsed="false">
      <c r="A31" s="3" t="s">
        <v>58</v>
      </c>
      <c r="B31" s="3"/>
      <c r="C31" s="3"/>
      <c r="D31" s="13"/>
      <c r="E31" s="13"/>
      <c r="F31" s="13"/>
      <c r="G31" s="13"/>
      <c r="H31" s="13"/>
    </row>
    <row r="33" customFormat="false" ht="25.5" hidden="false" customHeight="true" outlineLevel="0" collapsed="false">
      <c r="A33" s="14" t="s">
        <v>59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60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61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25.5" hidden="false" customHeight="true" outlineLevel="0" collapsed="false">
      <c r="A36" s="14" t="s">
        <v>62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customFormat="false" ht="25.5" hidden="false" customHeight="true" outlineLevel="0" collapsed="false">
      <c r="A37" s="14" t="s">
        <v>63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20:D20"/>
    <mergeCell ref="C21:D21"/>
    <mergeCell ref="C22:D22"/>
    <mergeCell ref="C23:D23"/>
    <mergeCell ref="C24:D24"/>
    <mergeCell ref="C25:D25"/>
    <mergeCell ref="A27:C27"/>
    <mergeCell ref="D27:H27"/>
    <mergeCell ref="A28:C28"/>
    <mergeCell ref="D28:H28"/>
    <mergeCell ref="A29:C29"/>
    <mergeCell ref="D29:H29"/>
    <mergeCell ref="A30:C30"/>
    <mergeCell ref="D30:H30"/>
    <mergeCell ref="A31:C31"/>
    <mergeCell ref="D31:H31"/>
    <mergeCell ref="A33:L33"/>
    <mergeCell ref="A34:L34"/>
    <mergeCell ref="A35:L35"/>
    <mergeCell ref="A36:L36"/>
    <mergeCell ref="A37:L37"/>
  </mergeCells>
  <dataValidations count="3">
    <dataValidation allowBlank="true" errorStyle="stop" operator="between" showDropDown="false" showErrorMessage="false" showInputMessage="false" sqref="E11:E18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8" type="whole">
      <formula1>0</formula1>
      <formula2>10</formula2>
    </dataValidation>
    <dataValidation allowBlank="true" errorStyle="stop" operator="between" showDropDown="false" showErrorMessage="false" showInputMessage="false" sqref="K11:K1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2026-10-04T13:26:46Z</dcterms:created>
  <dc:creator>openpyxl</dc:creator>
  <dc:description/>
  <dc:language>en-US</dc:language>
  <cp:lastModifiedBy/>
  <dcterms:modified xsi:type="dcterms:W3CDTF">2026-10-04T13:26:46Z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