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1" sheetId="1" state="visible" r:id="rId3"/>
  </sheets>
  <definedNames>
    <definedName function="false" hidden="false" localSheetId="0" name="_xlnm.Print_Titles" vbProcedure="false">'Session 11'!$10:$10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<sst xmlns="http://schemas.openxmlformats.org/spreadsheetml/2006/main" count="66" uniqueCount="66">
  <si>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</si>
  <si>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</si>
  <si>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</si>
  <si>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11 - Predictive Health Analytics and Precision Medicine</t>
  </si>
  <si>
    <t xml:space="preserve">Date and time</t>
  </si>
  <si>
    <t xml:space="preserve">Monday, 5 October 2026, 12:25-14:01 IST (Room E)</t>
  </si>
  <si>
    <t xml:space="preserve">Session chair</t>
  </si>
  <si>
    <t xml:space="preserve">M. Naveen Kumar</t>
  </si>
  <si>
    <t xml:space="preserve">Co-chair</t>
  </si>
  <si>
    <t xml:space="preserve">-</t>
  </si>
  <si>
    <t xml:space="preserve">Joining link</t>
  </si>
  <si>
    <t xml:space="preserve">https://meet.google.com/bvc-xxar-xsd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</si>
  <si>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</si>
  <si>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</si>
  <si>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</si>
  <si>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</si>
  <si>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</si>
  <si>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</si>
  <si>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</si>
  <si>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</si>
  <si>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</si>
  <si>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</si>
  <si>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</si>
  <si>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</si>
  <si>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</si>
  <si>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600847</t>
  </si>
  <si>
    <t xml:space="preserve">TAC-CMT: Task-Aligned Constraint-Mirror-Teacher Imputation for Incomplete ClinVar Variant Records</t>
  </si>
  <si>
    <t xml:space="preserve">Moved</t>
  </si>
  <si>
    <t xml:space="preserve">Moved to Tue 6 Oct, Session 19, 12:37 IST - do not mark here</t>
  </si>
  <si>
    <t xml:space="preserve">12:37-12:49</t>
  </si>
  <si>
    <t xml:space="preserve">238081</t>
  </si>
  <si>
    <t xml:space="preserve">A Framework for Type II Diabetes Detection From PFCM Feature Extraction and Metaheuristic Feature Selection Using Microarray Gene</t>
  </si>
  <si>
    <t xml:space="preserve">12:49-13:01</t>
  </si>
  <si>
    <t xml:space="preserve">038975</t>
  </si>
  <si>
    <t xml:space="preserve">Hybrid RF-ET-MLP Ensemble Framework for Division-Wise Dengue Case Prediction in Bangladesh</t>
  </si>
  <si>
    <t xml:space="preserve">13:01-13:13</t>
  </si>
  <si>
    <t xml:space="preserve">051471</t>
  </si>
  <si>
    <t xml:space="preserve">Post-COVID Cardiac Risk Prediction Using Ensemble Machine Learning With SHAP-Based Explainability</t>
  </si>
  <si>
    <t xml:space="preserve">13:13-13:25</t>
  </si>
  <si>
    <t xml:space="preserve">769601</t>
  </si>
  <si>
    <t xml:space="preserve">Recent Advances in Multimodal Deep Learning for Cardiovascular Disease Prediction</t>
  </si>
  <si>
    <t xml:space="preserve">13:25-13:37</t>
  </si>
  <si>
    <t xml:space="preserve">203408</t>
  </si>
  <si>
    <t xml:space="preserve">Differentially Private Federated Graph Attention Networks for Explainable Crohn's Disease Prediction From Whole-Exome Sequencing</t>
  </si>
  <si>
    <t xml:space="preserve">13:37-13:49</t>
  </si>
  <si>
    <t xml:space="preserve">755597</t>
  </si>
  <si>
    <t xml:space="preserve">Blockchain Adaptive Zero-Trust Federated Edge AI Frameworks for Intelligent Healthcare Monitoring Systems: A Comprehensive Review</t>
  </si>
  <si>
    <t xml:space="preserve">13:49-14:01</t>
  </si>
  <si>
    <t xml:space="preserve">366469</t>
  </si>
  <si>
    <t xml:space="preserve">AMRNet: A Modality Resilient Lightweight Network for Joint Glioma Segmentation and Grading under Incomplete Multimodal MRI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</si>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</sst>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strike val="true"/>
      <sz val="10"/>
      <color rgb="FF7F7F7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EDEDED"/>
        <bgColor rgb="FFE3EFF7"/>
      </patternFill>
    </fill>
    <fill>
      <patternFill patternType="solid">
        <fgColor rgb="FFFFF2CC"/>
        <bgColor rgb="FFEDEDED"/>
      </patternFill>
    </fill>
    <fill>
      <patternFill patternType="solid">
        <fgColor rgb="FFE3EF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7" t="s">
        <v>24</v>
      </c>
      <c r="C11" s="8" t="s">
        <v>25</v>
      </c>
      <c r="D11" s="9" t="s">
        <v>26</v>
      </c>
      <c r="E11" s="6" t="s">
        <v>27</v>
      </c>
      <c r="F11" s="10"/>
      <c r="G11" s="6"/>
      <c r="H11" s="6"/>
      <c r="I11" s="6"/>
      <c r="J11" s="6" t="str">
        <f aca="false">IF(COUNT(G11:I11)=0,"",SUM(G11:I11))</f>
        <v/>
      </c>
      <c r="K11" s="6"/>
      <c r="L11" s="10" t="s">
        <v>28</v>
      </c>
    </row>
    <row r="12" customFormat="false" ht="35" hidden="false" customHeight="false" outlineLevel="0" collapsed="false">
      <c r="A12" s="11" t="n">
        <v>2</v>
      </c>
      <c r="B12" s="11" t="s">
        <v>29</v>
      </c>
      <c r="C12" s="12" t="s">
        <v>30</v>
      </c>
      <c r="D12" s="13" t="s">
        <v>31</v>
      </c>
      <c r="E12" s="14"/>
      <c r="F12" s="15"/>
      <c r="G12" s="14"/>
      <c r="H12" s="14"/>
      <c r="I12" s="14"/>
      <c r="J12" s="16" t="str">
        <f aca="false">IF(COUNT(G12:I12)=0,"",SUM(G12:I12))</f>
        <v/>
      </c>
      <c r="K12" s="14"/>
      <c r="L12" s="15"/>
    </row>
    <row r="13" customFormat="false" ht="24" hidden="false" customHeight="false" outlineLevel="0" collapsed="false">
      <c r="A13" s="11" t="n">
        <v>3</v>
      </c>
      <c r="B13" s="11" t="s">
        <v>32</v>
      </c>
      <c r="C13" s="12" t="s">
        <v>33</v>
      </c>
      <c r="D13" s="13" t="s">
        <v>34</v>
      </c>
      <c r="E13" s="14"/>
      <c r="F13" s="15"/>
      <c r="G13" s="14"/>
      <c r="H13" s="14"/>
      <c r="I13" s="14"/>
      <c r="J13" s="16" t="str">
        <f aca="false">IF(COUNT(G13:I13)=0,"",SUM(G13:I13))</f>
        <v/>
      </c>
      <c r="K13" s="14"/>
      <c r="L13" s="15"/>
    </row>
    <row r="14" customFormat="false" ht="24" hidden="false" customHeight="false" outlineLevel="0" collapsed="false">
      <c r="A14" s="11" t="n">
        <v>4</v>
      </c>
      <c r="B14" s="11" t="s">
        <v>35</v>
      </c>
      <c r="C14" s="12" t="s">
        <v>36</v>
      </c>
      <c r="D14" s="13" t="s">
        <v>37</v>
      </c>
      <c r="E14" s="14"/>
      <c r="F14" s="15"/>
      <c r="G14" s="14"/>
      <c r="H14" s="14"/>
      <c r="I14" s="14"/>
      <c r="J14" s="16" t="str">
        <f aca="false">IF(COUNT(G14:I14)=0,"",SUM(G14:I14))</f>
        <v/>
      </c>
      <c r="K14" s="14"/>
      <c r="L14" s="15"/>
    </row>
    <row r="15" customFormat="false" ht="24" hidden="false" customHeight="false" outlineLevel="0" collapsed="false">
      <c r="A15" s="11" t="n">
        <v>5</v>
      </c>
      <c r="B15" s="11" t="s">
        <v>38</v>
      </c>
      <c r="C15" s="12" t="s">
        <v>39</v>
      </c>
      <c r="D15" s="13" t="s">
        <v>40</v>
      </c>
      <c r="E15" s="14"/>
      <c r="F15" s="15"/>
      <c r="G15" s="14"/>
      <c r="H15" s="14"/>
      <c r="I15" s="14"/>
      <c r="J15" s="16" t="str">
        <f aca="false">IF(COUNT(G15:I15)=0,"",SUM(G15:I15))</f>
        <v/>
      </c>
      <c r="K15" s="14"/>
      <c r="L15" s="15"/>
    </row>
    <row r="16" customFormat="false" ht="35" hidden="false" customHeight="false" outlineLevel="0" collapsed="false">
      <c r="A16" s="11" t="n">
        <v>6</v>
      </c>
      <c r="B16" s="11" t="s">
        <v>41</v>
      </c>
      <c r="C16" s="12" t="s">
        <v>42</v>
      </c>
      <c r="D16" s="13" t="s">
        <v>43</v>
      </c>
      <c r="E16" s="14"/>
      <c r="F16" s="15"/>
      <c r="G16" s="14"/>
      <c r="H16" s="14"/>
      <c r="I16" s="14"/>
      <c r="J16" s="16" t="str">
        <f aca="false">IF(COUNT(G16:I16)=0,"",SUM(G16:I16))</f>
        <v/>
      </c>
      <c r="K16" s="14"/>
      <c r="L16" s="15"/>
    </row>
    <row r="17" customFormat="false" ht="35" hidden="false" customHeight="false" outlineLevel="0" collapsed="false">
      <c r="A17" s="11" t="n">
        <v>7</v>
      </c>
      <c r="B17" s="11" t="s">
        <v>44</v>
      </c>
      <c r="C17" s="12" t="s">
        <v>45</v>
      </c>
      <c r="D17" s="13" t="s">
        <v>46</v>
      </c>
      <c r="E17" s="14"/>
      <c r="F17" s="15"/>
      <c r="G17" s="14"/>
      <c r="H17" s="14"/>
      <c r="I17" s="14"/>
      <c r="J17" s="16" t="str">
        <f aca="false">IF(COUNT(G17:I17)=0,"",SUM(G17:I17))</f>
        <v/>
      </c>
      <c r="K17" s="14"/>
      <c r="L17" s="15"/>
    </row>
    <row r="18" customFormat="false" ht="35" hidden="false" customHeight="false" outlineLevel="0" collapsed="false">
      <c r="A18" s="11" t="n">
        <v>8</v>
      </c>
      <c r="B18" s="11" t="s">
        <v>47</v>
      </c>
      <c r="C18" s="12" t="s">
        <v>48</v>
      </c>
      <c r="D18" s="13" t="s">
        <v>49</v>
      </c>
      <c r="E18" s="14"/>
      <c r="F18" s="15"/>
      <c r="G18" s="14"/>
      <c r="H18" s="14"/>
      <c r="I18" s="14"/>
      <c r="J18" s="16" t="str">
        <f aca="false">IF(COUNT(G18:I18)=0,"",SUM(G18:I18))</f>
        <v/>
      </c>
      <c r="K18" s="14"/>
      <c r="L18" s="15"/>
    </row>
    <row r="20" customFormat="false" ht="15" hidden="false" customHeight="false" outlineLevel="0" collapsed="false">
      <c r="C20" s="3" t="s">
        <v>50</v>
      </c>
      <c r="D20" s="3"/>
      <c r="E20" s="17" t="n">
        <f aca="false">COUNTA(C11:C18)-COUNTIF(E11:E18,"Moved")</f>
        <v>7</v>
      </c>
    </row>
    <row r="21" customFormat="false" ht="15" hidden="false" customHeight="false" outlineLevel="0" collapsed="false">
      <c r="C21" s="3" t="s">
        <v>51</v>
      </c>
      <c r="D21" s="3"/>
      <c r="E21" s="17" t="n">
        <f aca="false">COUNTIF(E11:E18,"Present")</f>
        <v>0</v>
      </c>
    </row>
    <row r="22" customFormat="false" ht="15" hidden="false" customHeight="false" outlineLevel="0" collapsed="false">
      <c r="C22" s="3" t="s">
        <v>52</v>
      </c>
      <c r="D22" s="3"/>
      <c r="E22" s="17" t="n">
        <f aca="false">COUNTIF(E11:E18,"Late")</f>
        <v>0</v>
      </c>
    </row>
    <row r="23" customFormat="false" ht="15" hidden="false" customHeight="false" outlineLevel="0" collapsed="false">
      <c r="C23" s="3" t="s">
        <v>53</v>
      </c>
      <c r="D23" s="3"/>
      <c r="E23" s="17" t="n">
        <f aca="false">COUNTIF(E11:E18,"Absent")</f>
        <v>0</v>
      </c>
    </row>
    <row r="24" customFormat="false" ht="15" hidden="false" customHeight="false" outlineLevel="0" collapsed="false">
      <c r="C24" s="3" t="s">
        <v>54</v>
      </c>
      <c r="D24" s="3"/>
      <c r="E24" s="17" t="n">
        <f aca="false">COUNTA(C11:C18)-COUNTA(E11:E18)</f>
        <v>7</v>
      </c>
    </row>
    <row r="25" customFormat="false" ht="15" hidden="false" customHeight="false" outlineLevel="0" collapsed="false">
      <c r="C25" s="3" t="s">
        <v>55</v>
      </c>
      <c r="D25" s="3"/>
      <c r="E25" s="17" t="n">
        <f aca="false">COUNTIF(K11:K18,"Yes")</f>
        <v>0</v>
      </c>
    </row>
    <row r="27" customFormat="false" ht="15" hidden="false" customHeight="false" outlineLevel="0" collapsed="false">
      <c r="A27" s="3" t="s">
        <v>56</v>
      </c>
      <c r="B27" s="3"/>
      <c r="C27" s="3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3" t="s">
        <v>57</v>
      </c>
      <c r="B28" s="3"/>
      <c r="C28" s="3"/>
      <c r="D28" s="18"/>
      <c r="E28" s="18"/>
      <c r="F28" s="18"/>
      <c r="G28" s="18"/>
      <c r="H28" s="18"/>
    </row>
    <row r="29" customFormat="false" ht="15" hidden="false" customHeight="false" outlineLevel="0" collapsed="false">
      <c r="A29" s="3" t="s">
        <v>58</v>
      </c>
      <c r="B29" s="3"/>
      <c r="C29" s="3"/>
      <c r="D29" s="18"/>
      <c r="E29" s="18"/>
      <c r="F29" s="18"/>
      <c r="G29" s="18"/>
      <c r="H29" s="18"/>
    </row>
    <row r="30" customFormat="false" ht="15" hidden="false" customHeight="false" outlineLevel="0" collapsed="false">
      <c r="A30" s="3" t="s">
        <v>59</v>
      </c>
      <c r="B30" s="3"/>
      <c r="C30" s="3"/>
      <c r="D30" s="18"/>
      <c r="E30" s="18"/>
      <c r="F30" s="18"/>
      <c r="G30" s="18"/>
      <c r="H30" s="18"/>
    </row>
    <row r="31" customFormat="false" ht="39.75" hidden="false" customHeight="true" outlineLevel="0" collapsed="false">
      <c r="A31" s="3" t="s">
        <v>60</v>
      </c>
      <c r="B31" s="3"/>
      <c r="C31" s="3"/>
      <c r="D31" s="18"/>
      <c r="E31" s="18"/>
      <c r="F31" s="18"/>
      <c r="G31" s="18"/>
      <c r="H31" s="18"/>
    </row>
    <row r="33" customFormat="false" ht="25.5" hidden="false" customHeight="true" outlineLevel="0" collapsed="false">
      <c r="A33" s="19" t="s">
        <v>61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customFormat="false" ht="25.5" hidden="false" customHeight="true" outlineLevel="0" collapsed="false">
      <c r="A34" s="19" t="s">
        <v>62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customFormat="false" ht="25.5" hidden="false" customHeight="true" outlineLevel="0" collapsed="false">
      <c r="A35" s="19" t="s">
        <v>63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customFormat="false" ht="25.5" hidden="false" customHeight="true" outlineLevel="0" collapsed="false">
      <c r="A36" s="19" t="s">
        <v>64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customFormat="false" ht="25.5" hidden="false" customHeight="true" outlineLevel="0" collapsed="false">
      <c r="A37" s="19" t="s">
        <v>65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0:D20"/>
    <mergeCell ref="C21:D21"/>
    <mergeCell ref="C22:D22"/>
    <mergeCell ref="C23:D23"/>
    <mergeCell ref="C24:D24"/>
    <mergeCell ref="C25:D25"/>
    <mergeCell ref="A27:C27"/>
    <mergeCell ref="D27:H27"/>
    <mergeCell ref="A28:C28"/>
    <mergeCell ref="D28:H28"/>
    <mergeCell ref="A29:C29"/>
    <mergeCell ref="D29:H29"/>
    <mergeCell ref="A30:C30"/>
    <mergeCell ref="D30:H30"/>
    <mergeCell ref="A31:C31"/>
    <mergeCell ref="D31:H31"/>
    <mergeCell ref="A33:L33"/>
    <mergeCell ref="A34:L34"/>
    <mergeCell ref="A35:L35"/>
    <mergeCell ref="A36:L36"/>
    <mergeCell ref="A37:L37"/>
  </mergeCells>
  <dataValidations count="3">
    <dataValidation allowBlank="true" errorStyle="stop" operator="between" showDropDown="false" showErrorMessage="false" showInputMessage="false" sqref="E11:E18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8" type="whole">
      <formula1>0</formula1>
      <formula2>10</formula2>
    </dataValidation>
    <dataValidation allowBlank="true" errorStyle="stop" operator="between" showDropDown="false" showErrorMessage="false" showInputMessage="false" sqref="K11:K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2026-10-05T09:45:15Z</dcterms:created>
  <dc:creator>openpyxl</dc:creator>
  <dc:description/>
  <dc:language>en-US</dc:language>
  <cp:lastModifiedBy/>
  <dcterms:modified xsi:type="dcterms:W3CDTF">2026-10-05T09:45:15Z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