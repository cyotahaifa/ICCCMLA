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ession 52" sheetId="1" state="visible" r:id="rId3"/>
  </sheets>
  <definedNames>
    <definedName function="false" hidden="false" localSheetId="0" name="_xlnm.Print_Titles" vbProcedure="false">'Session 52'!$10:$10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<sst xmlns="http://schemas.openxmlformats.org/spreadsheetml/2006/main" count="58" uniqueCount="58">
  <si>
    <t xml:space="preserve">ICCCMLA 2026 - Session attendance and evaluation sheet</t>
  </si>
  <si>
    <t xml:space="preserve">IEEE 8th International Conference on Cybernetics, Cognition and Machine Learning Applications · IEEE Conference Record No. 71579 · 5-6 October 2026 · online</t>
  </si>
  <si>
    <t xml:space="preserve">Session</t>
  </si>
  <si>
    <t xml:space="preserve">52 - Blockchain Applications and Secure Exchange</t>
  </si>
  <si>
    <t xml:space="preserve">Date and time</t>
  </si>
  <si>
    <t xml:space="preserve">Tuesday, 6 October 2026, 10:00-11:12 IST (Room M)</t>
  </si>
  <si>
    <t xml:space="preserve">Session chair</t>
  </si>
  <si>
    <t xml:space="preserve">Dr. G. Anitha</t>
  </si>
  <si>
    <t xml:space="preserve">Co-chair</t>
  </si>
  <si>
    <t xml:space="preserve">-</t>
  </si>
  <si>
    <t xml:space="preserve">Joining link</t>
  </si>
  <si>
    <t xml:space="preserve">https://meet.google.com/tqr-rafs-drh</t>
  </si>
  <si>
    <t xml:space="preserve">#</t>
  </si>
  <si>
    <t xml:space="preserve">Time (IST)</t>
  </si>
  <si>
    <t xml:space="preserve">Paper ID</t>
  </si>
  <si>
    <t xml:space="preserve">Paper title</t>
  </si>
  <si>
    <t xml:space="preserve">Attendance</t>
  </si>
  <si>
    <t xml:space="preserve">Presented by (name)</t>
  </si>
  <si>
    <t xml:space="preserve">Technical content (0-10)</t>
  </si>
  <si>
    <t xml:space="preserve">Presentation (0-10)</t>
  </si>
  <si>
    <t xml:space="preserve">Q&amp;A handling (0-10)</t>
  </si>
  <si>
    <t xml:space="preserve">Total (0-30)</t>
  </si>
  <si>
    <t xml:space="preserve">Best paper nominee?</t>
  </si>
  <si>
    <t xml:space="preserve">Remarks</t>
  </si>
  <si>
    <t xml:space="preserve">10:00-10:12</t>
  </si>
  <si>
    <t xml:space="preserve">275651</t>
  </si>
  <si>
    <t xml:space="preserve">Adaptive Graph-Based Sharding for Reducing Cross-Shard Transactions in NFT System</t>
  </si>
  <si>
    <t xml:space="preserve">10:12-10:24</t>
  </si>
  <si>
    <t xml:space="preserve">522574</t>
  </si>
  <si>
    <t xml:space="preserve">Defending the Block Chain Fog Cloud Infrastructure for Secure Data/Computation Management Against Attacks</t>
  </si>
  <si>
    <t xml:space="preserve">10:24-10:36</t>
  </si>
  <si>
    <t xml:space="preserve">739682</t>
  </si>
  <si>
    <t xml:space="preserve">Blockchain Based Secure E-Voting System Using Ethereum</t>
  </si>
  <si>
    <t xml:space="preserve">10:36-10:48</t>
  </si>
  <si>
    <t xml:space="preserve">885313</t>
  </si>
  <si>
    <t xml:space="preserve">Blockchain-Based Micro Credit System for Freelancers</t>
  </si>
  <si>
    <t xml:space="preserve">10:48-11:00</t>
  </si>
  <si>
    <t xml:space="preserve">554026</t>
  </si>
  <si>
    <t xml:space="preserve">Quantum Integrated Security Models for Securing Data From Cyberattacks</t>
  </si>
  <si>
    <t xml:space="preserve">11:00-11:12</t>
  </si>
  <si>
    <t xml:space="preserve">486015</t>
  </si>
  <si>
    <t xml:space="preserve">Hybrid LSB-DCT Based Invisible Watermarking Framework for Secure Digital Image Authentication and Copyright Protection</t>
  </si>
  <si>
    <t xml:space="preserve">Papers scheduled</t>
  </si>
  <si>
    <t xml:space="preserve">Present</t>
  </si>
  <si>
    <t xml:space="preserve">Late</t>
  </si>
  <si>
    <t xml:space="preserve">Absent</t>
  </si>
  <si>
    <t xml:space="preserve">Not yet marked</t>
  </si>
  <si>
    <t xml:space="preserve">Best paper nominees</t>
  </si>
  <si>
    <t xml:space="preserve">Chair's name</t>
  </si>
  <si>
    <t xml:space="preserve">Co-chair's name</t>
  </si>
  <si>
    <t xml:space="preserve">Session started at (IST)</t>
  </si>
  <si>
    <t xml:space="preserve">Session ended at (IST)</t>
  </si>
  <si>
    <t xml:space="preserve">Any problems during the session</t>
  </si>
  <si>
    <t xml:space="preserve">HOW TO FILL IN: yellow cells only. Attendance: Present / Late / Absent from the list. Scores are whole numbers 0-10; the total adds itself.</t>
  </si>
  <si>
    <t xml:space="preserve">Mark a paper Present only if one of its authors presented it LIVE in this session. Pre-recorded videos are not accepted; a paper presented in another session is Absent here.</t>
  </si>
  <si>
    <t xml:space="preserve">Record who actually presented. If the listed presenter changed, note it under Remarks.</t>
  </si>
  <si>
    <t xml:space="preserve">Best paper nominee: Yes for at most one or two outstanding papers. Nominations go to the Valedictory Session.</t>
  </si>
  <si>
    <t xml:space="preserve">Return this sheet to convenericccmla@gmail.com within one hour of the session ending, with the subject "Session 52 evaluation".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</si>
</sst>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629B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629B"/>
        <bgColor rgb="FF008080"/>
      </patternFill>
    </fill>
    <fill>
      <patternFill patternType="solid">
        <fgColor rgb="FFFFF2CC"/>
        <bgColor rgb="FFFFFFFF"/>
      </patternFill>
    </fill>
    <fill>
      <patternFill patternType="solid">
        <fgColor rgb="FFE3EF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3EFF7"/>
      <rgbColor rgb="FF660066"/>
      <rgbColor rgb="FFFF8080"/>
      <rgbColor rgb="FF00629B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0" topLeftCell="E11" activePane="bottomRight" state="frozen"/>
      <selection pane="topLeft" activeCell="A1" activeCellId="0" sqref="A1"/>
      <selection pane="topRight" activeCell="E1" activeCellId="0" sqref="E1"/>
      <selection pane="bottomLeft" activeCell="A11" activeCellId="0" sqref="A11"/>
      <selection pane="bottomRigh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52"/>
    <col collapsed="false" customWidth="true" hidden="false" outlineLevel="0" max="5" min="5" style="0" width="13"/>
    <col collapsed="false" customWidth="true" hidden="false" outlineLevel="0" max="6" min="6" style="0" width="24"/>
    <col collapsed="false" customWidth="true" hidden="false" outlineLevel="0" max="9" min="7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4" t="s">
        <v>3</v>
      </c>
      <c r="D4" s="4"/>
      <c r="E4" s="4"/>
      <c r="F4" s="4"/>
      <c r="G4" s="4"/>
      <c r="H4" s="4"/>
      <c r="I4" s="4"/>
      <c r="J4" s="4"/>
      <c r="K4" s="4"/>
      <c r="L4" s="4"/>
    </row>
    <row r="5" customFormat="false" ht="15" hidden="false" customHeight="false" outlineLevel="0" collapsed="false">
      <c r="A5" s="3" t="s">
        <v>4</v>
      </c>
      <c r="B5" s="3"/>
      <c r="C5" s="4" t="s">
        <v>5</v>
      </c>
      <c r="D5" s="4"/>
      <c r="E5" s="4"/>
      <c r="F5" s="4"/>
      <c r="G5" s="4"/>
      <c r="H5" s="4"/>
      <c r="I5" s="4"/>
      <c r="J5" s="4"/>
      <c r="K5" s="4"/>
      <c r="L5" s="4"/>
    </row>
    <row r="6" customFormat="false" ht="15" hidden="false" customHeight="false" outlineLevel="0" collapsed="false">
      <c r="A6" s="3" t="s">
        <v>6</v>
      </c>
      <c r="B6" s="3"/>
      <c r="C6" s="4" t="s">
        <v>7</v>
      </c>
      <c r="D6" s="4"/>
      <c r="E6" s="4"/>
      <c r="F6" s="4"/>
      <c r="G6" s="4"/>
      <c r="H6" s="4"/>
      <c r="I6" s="4"/>
      <c r="J6" s="4"/>
      <c r="K6" s="4"/>
      <c r="L6" s="4"/>
    </row>
    <row r="7" customFormat="false" ht="15" hidden="false" customHeight="false" outlineLevel="0" collapsed="false">
      <c r="A7" s="3" t="s">
        <v>8</v>
      </c>
      <c r="B7" s="3"/>
      <c r="C7" s="4" t="s">
        <v>9</v>
      </c>
      <c r="D7" s="4"/>
      <c r="E7" s="4"/>
      <c r="F7" s="4"/>
      <c r="G7" s="4"/>
      <c r="H7" s="4"/>
      <c r="I7" s="4"/>
      <c r="J7" s="4"/>
      <c r="K7" s="4"/>
      <c r="L7" s="4"/>
    </row>
    <row r="8" customFormat="false" ht="15" hidden="false" customHeight="false" outlineLevel="0" collapsed="false">
      <c r="A8" s="3" t="s">
        <v>10</v>
      </c>
      <c r="B8" s="3"/>
      <c r="C8" s="4" t="s">
        <v>11</v>
      </c>
      <c r="D8" s="4"/>
      <c r="E8" s="4"/>
      <c r="F8" s="4"/>
      <c r="G8" s="4"/>
      <c r="H8" s="4"/>
      <c r="I8" s="4"/>
      <c r="J8" s="4"/>
      <c r="K8" s="4"/>
      <c r="L8" s="4"/>
    </row>
    <row r="10" customFormat="false" ht="42" hidden="false" customHeight="true" outlineLevel="0" collapsed="false">
      <c r="A10" s="5" t="s">
        <v>12</v>
      </c>
      <c r="B10" s="5" t="s">
        <v>13</v>
      </c>
      <c r="C10" s="5" t="s">
        <v>14</v>
      </c>
      <c r="D10" s="5" t="s">
        <v>15</v>
      </c>
      <c r="E10" s="5" t="s">
        <v>16</v>
      </c>
      <c r="F10" s="5" t="s">
        <v>17</v>
      </c>
      <c r="G10" s="5" t="s">
        <v>18</v>
      </c>
      <c r="H10" s="5" t="s">
        <v>19</v>
      </c>
      <c r="I10" s="5" t="s">
        <v>20</v>
      </c>
      <c r="J10" s="5" t="s">
        <v>21</v>
      </c>
      <c r="K10" s="5" t="s">
        <v>22</v>
      </c>
      <c r="L10" s="5" t="s">
        <v>23</v>
      </c>
    </row>
    <row r="11" customFormat="false" ht="24" hidden="false" customHeight="false" outlineLevel="0" collapsed="false">
      <c r="A11" s="6" t="n">
        <v>1</v>
      </c>
      <c r="B11" s="6" t="s">
        <v>24</v>
      </c>
      <c r="C11" s="7" t="s">
        <v>25</v>
      </c>
      <c r="D11" s="8" t="s">
        <v>26</v>
      </c>
      <c r="E11" s="9"/>
      <c r="F11" s="10"/>
      <c r="G11" s="9"/>
      <c r="H11" s="9"/>
      <c r="I11" s="9"/>
      <c r="J11" s="11" t="str">
        <f aca="false">IF(COUNT(G11:I11)=0,"",SUM(G11:I11))</f>
        <v/>
      </c>
      <c r="K11" s="9"/>
      <c r="L11" s="10"/>
    </row>
    <row r="12" customFormat="false" ht="24" hidden="false" customHeight="false" outlineLevel="0" collapsed="false">
      <c r="A12" s="6" t="n">
        <v>2</v>
      </c>
      <c r="B12" s="6" t="s">
        <v>27</v>
      </c>
      <c r="C12" s="7" t="s">
        <v>28</v>
      </c>
      <c r="D12" s="8" t="s">
        <v>29</v>
      </c>
      <c r="E12" s="9"/>
      <c r="F12" s="10"/>
      <c r="G12" s="9"/>
      <c r="H12" s="9"/>
      <c r="I12" s="9"/>
      <c r="J12" s="11" t="str">
        <f aca="false">IF(COUNT(G12:I12)=0,"",SUM(G12:I12))</f>
        <v/>
      </c>
      <c r="K12" s="9"/>
      <c r="L12" s="10"/>
    </row>
    <row r="13" customFormat="false" ht="15" hidden="false" customHeight="false" outlineLevel="0" collapsed="false">
      <c r="A13" s="6" t="n">
        <v>3</v>
      </c>
      <c r="B13" s="6" t="s">
        <v>30</v>
      </c>
      <c r="C13" s="7" t="s">
        <v>31</v>
      </c>
      <c r="D13" s="8" t="s">
        <v>32</v>
      </c>
      <c r="E13" s="9"/>
      <c r="F13" s="10"/>
      <c r="G13" s="9"/>
      <c r="H13" s="9"/>
      <c r="I13" s="9"/>
      <c r="J13" s="11" t="str">
        <f aca="false">IF(COUNT(G13:I13)=0,"",SUM(G13:I13))</f>
        <v/>
      </c>
      <c r="K13" s="9"/>
      <c r="L13" s="10"/>
    </row>
    <row r="14" customFormat="false" ht="15" hidden="false" customHeight="false" outlineLevel="0" collapsed="false">
      <c r="A14" s="6" t="n">
        <v>4</v>
      </c>
      <c r="B14" s="6" t="s">
        <v>33</v>
      </c>
      <c r="C14" s="7" t="s">
        <v>34</v>
      </c>
      <c r="D14" s="8" t="s">
        <v>35</v>
      </c>
      <c r="E14" s="9"/>
      <c r="F14" s="10"/>
      <c r="G14" s="9"/>
      <c r="H14" s="9"/>
      <c r="I14" s="9"/>
      <c r="J14" s="11" t="str">
        <f aca="false">IF(COUNT(G14:I14)=0,"",SUM(G14:I14))</f>
        <v/>
      </c>
      <c r="K14" s="9"/>
      <c r="L14" s="10"/>
    </row>
    <row r="15" customFormat="false" ht="24" hidden="false" customHeight="false" outlineLevel="0" collapsed="false">
      <c r="A15" s="6" t="n">
        <v>5</v>
      </c>
      <c r="B15" s="6" t="s">
        <v>36</v>
      </c>
      <c r="C15" s="7" t="s">
        <v>37</v>
      </c>
      <c r="D15" s="8" t="s">
        <v>38</v>
      </c>
      <c r="E15" s="9"/>
      <c r="F15" s="10"/>
      <c r="G15" s="9"/>
      <c r="H15" s="9"/>
      <c r="I15" s="9"/>
      <c r="J15" s="11" t="str">
        <f aca="false">IF(COUNT(G15:I15)=0,"",SUM(G15:I15))</f>
        <v/>
      </c>
      <c r="K15" s="9"/>
      <c r="L15" s="10"/>
    </row>
    <row r="16" customFormat="false" ht="24" hidden="false" customHeight="false" outlineLevel="0" collapsed="false">
      <c r="A16" s="6" t="n">
        <v>6</v>
      </c>
      <c r="B16" s="6" t="s">
        <v>39</v>
      </c>
      <c r="C16" s="7" t="s">
        <v>40</v>
      </c>
      <c r="D16" s="8" t="s">
        <v>41</v>
      </c>
      <c r="E16" s="9"/>
      <c r="F16" s="10"/>
      <c r="G16" s="9"/>
      <c r="H16" s="9"/>
      <c r="I16" s="9"/>
      <c r="J16" s="11" t="str">
        <f aca="false">IF(COUNT(G16:I16)=0,"",SUM(G16:I16))</f>
        <v/>
      </c>
      <c r="K16" s="9"/>
      <c r="L16" s="10"/>
    </row>
    <row r="18" customFormat="false" ht="15" hidden="false" customHeight="false" outlineLevel="0" collapsed="false">
      <c r="C18" s="3" t="s">
        <v>42</v>
      </c>
      <c r="D18" s="3"/>
      <c r="E18" s="12" t="n">
        <f aca="false">COUNTA(C11:C16)</f>
        <v>6</v>
      </c>
    </row>
    <row r="19" customFormat="false" ht="15" hidden="false" customHeight="false" outlineLevel="0" collapsed="false">
      <c r="C19" s="3" t="s">
        <v>43</v>
      </c>
      <c r="D19" s="3"/>
      <c r="E19" s="12" t="n">
        <f aca="false">COUNTIF(E11:E16,"Present")</f>
        <v>0</v>
      </c>
    </row>
    <row r="20" customFormat="false" ht="15" hidden="false" customHeight="false" outlineLevel="0" collapsed="false">
      <c r="C20" s="3" t="s">
        <v>44</v>
      </c>
      <c r="D20" s="3"/>
      <c r="E20" s="12" t="n">
        <f aca="false">COUNTIF(E11:E16,"Late")</f>
        <v>0</v>
      </c>
    </row>
    <row r="21" customFormat="false" ht="15" hidden="false" customHeight="false" outlineLevel="0" collapsed="false">
      <c r="C21" s="3" t="s">
        <v>45</v>
      </c>
      <c r="D21" s="3"/>
      <c r="E21" s="12" t="n">
        <f aca="false">COUNTIF(E11:E16,"Absent")</f>
        <v>0</v>
      </c>
    </row>
    <row r="22" customFormat="false" ht="15" hidden="false" customHeight="false" outlineLevel="0" collapsed="false">
      <c r="C22" s="3" t="s">
        <v>46</v>
      </c>
      <c r="D22" s="3"/>
      <c r="E22" s="12" t="n">
        <f aca="false">COUNTA(C11:C16)-COUNTA(E11:E16)</f>
        <v>6</v>
      </c>
    </row>
    <row r="23" customFormat="false" ht="15" hidden="false" customHeight="false" outlineLevel="0" collapsed="false">
      <c r="C23" s="3" t="s">
        <v>47</v>
      </c>
      <c r="D23" s="3"/>
      <c r="E23" s="12" t="n">
        <f aca="false">COUNTIF(K11:K16,"Yes")</f>
        <v>0</v>
      </c>
    </row>
    <row r="25" customFormat="false" ht="15" hidden="false" customHeight="false" outlineLevel="0" collapsed="false">
      <c r="A25" s="3" t="s">
        <v>48</v>
      </c>
      <c r="B25" s="3"/>
      <c r="C25" s="3"/>
      <c r="D25" s="13"/>
      <c r="E25" s="13"/>
      <c r="F25" s="13"/>
      <c r="G25" s="13"/>
      <c r="H25" s="13"/>
    </row>
    <row r="26" customFormat="false" ht="15" hidden="false" customHeight="false" outlineLevel="0" collapsed="false">
      <c r="A26" s="3" t="s">
        <v>49</v>
      </c>
      <c r="B26" s="3"/>
      <c r="C26" s="3"/>
      <c r="D26" s="13"/>
      <c r="E26" s="13"/>
      <c r="F26" s="13"/>
      <c r="G26" s="13"/>
      <c r="H26" s="13"/>
    </row>
    <row r="27" customFormat="false" ht="15" hidden="false" customHeight="false" outlineLevel="0" collapsed="false">
      <c r="A27" s="3" t="s">
        <v>50</v>
      </c>
      <c r="B27" s="3"/>
      <c r="C27" s="3"/>
      <c r="D27" s="13"/>
      <c r="E27" s="13"/>
      <c r="F27" s="13"/>
      <c r="G27" s="13"/>
      <c r="H27" s="13"/>
    </row>
    <row r="28" customFormat="false" ht="15" hidden="false" customHeight="false" outlineLevel="0" collapsed="false">
      <c r="A28" s="3" t="s">
        <v>51</v>
      </c>
      <c r="B28" s="3"/>
      <c r="C28" s="3"/>
      <c r="D28" s="13"/>
      <c r="E28" s="13"/>
      <c r="F28" s="13"/>
      <c r="G28" s="13"/>
      <c r="H28" s="13"/>
    </row>
    <row r="29" customFormat="false" ht="39.75" hidden="false" customHeight="true" outlineLevel="0" collapsed="false">
      <c r="A29" s="3" t="s">
        <v>52</v>
      </c>
      <c r="B29" s="3"/>
      <c r="C29" s="3"/>
      <c r="D29" s="13"/>
      <c r="E29" s="13"/>
      <c r="F29" s="13"/>
      <c r="G29" s="13"/>
      <c r="H29" s="13"/>
    </row>
    <row r="31" customFormat="false" ht="25.5" hidden="false" customHeight="true" outlineLevel="0" collapsed="false">
      <c r="A31" s="14" t="s">
        <v>53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 customFormat="false" ht="25.5" hidden="false" customHeight="true" outlineLevel="0" collapsed="false">
      <c r="A32" s="14" t="s">
        <v>54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customFormat="false" ht="25.5" hidden="false" customHeight="true" outlineLevel="0" collapsed="false">
      <c r="A33" s="14" t="s">
        <v>55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customFormat="false" ht="25.5" hidden="false" customHeight="true" outlineLevel="0" collapsed="false">
      <c r="A34" s="14" t="s">
        <v>56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customFormat="false" ht="25.5" hidden="false" customHeight="true" outlineLevel="0" collapsed="false">
      <c r="A35" s="14" t="s">
        <v>57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</sheetData>
  <mergeCells count="31">
    <mergeCell ref="A4:B4"/>
    <mergeCell ref="C4:L4"/>
    <mergeCell ref="A5:B5"/>
    <mergeCell ref="C5:L5"/>
    <mergeCell ref="A6:B6"/>
    <mergeCell ref="C6:L6"/>
    <mergeCell ref="A7:B7"/>
    <mergeCell ref="C7:L7"/>
    <mergeCell ref="A8:B8"/>
    <mergeCell ref="C8:L8"/>
    <mergeCell ref="C18:D18"/>
    <mergeCell ref="C19:D19"/>
    <mergeCell ref="C20:D20"/>
    <mergeCell ref="C21:D21"/>
    <mergeCell ref="C22:D22"/>
    <mergeCell ref="C23:D23"/>
    <mergeCell ref="A25:C25"/>
    <mergeCell ref="D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1:L31"/>
    <mergeCell ref="A32:L32"/>
    <mergeCell ref="A33:L33"/>
    <mergeCell ref="A34:L34"/>
    <mergeCell ref="A35:L35"/>
  </mergeCells>
  <dataValidations count="3">
    <dataValidation allowBlank="true" errorStyle="stop" operator="between" showDropDown="false" showErrorMessage="false" showInputMessage="false" sqref="E11:E16" type="list">
      <formula1>"Present,Late,Absent"</formula1>
      <formula2>0</formula2>
    </dataValidation>
    <dataValidation allowBlank="true" error="Enter a whole number from 0 to 10." errorStyle="stop" errorTitle="Score" operator="between" showDropDown="false" showErrorMessage="true" showInputMessage="false" sqref="G11:I16" type="whole">
      <formula1>0</formula1>
      <formula2>10</formula2>
    </dataValidation>
    <dataValidation allowBlank="true" errorStyle="stop" operator="between" showDropDown="false" showErrorMessage="false" showInputMessage="false" sqref="K11:K1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2026-10-04T13:26:47Z</dcterms:created>
  <dc:creator>openpyxl</dc:creator>
  <dc:description/>
  <dc:language>en-US</dc:language>
  <cp:lastModifiedBy/>
  <dcterms:modified xsi:type="dcterms:W3CDTF">2026-10-04T13:26:48Z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