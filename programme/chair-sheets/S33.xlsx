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3" sheetId="1" state="visible" r:id="rId3"/>
  </sheets>
  <definedNames>
    <definedName function="false" hidden="false" localSheetId="0" name="_xlnm.Print_Titles" vbProcedure="false">'Session 33'!$10:$10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<sst xmlns="http://schemas.openxmlformats.org/spreadsheetml/2006/main" count="67" uniqueCount="67">
  <si>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</si>
  <si>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</si>
  <si>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</si>
  <si>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33 - Enterprise Decision Intelligence</t>
  </si>
  <si>
    <t xml:space="preserve">Date and time</t>
  </si>
  <si>
    <t xml:space="preserve">Monday, 5 October 2026, 12:25-14:13 IST (Room J)</t>
  </si>
  <si>
    <t xml:space="preserve">Session chair</t>
  </si>
  <si>
    <t xml:space="preserve">Rapelli Srikanth</t>
  </si>
  <si>
    <t xml:space="preserve">Co-chair</t>
  </si>
  <si>
    <t xml:space="preserve">-</t>
  </si>
  <si>
    <t xml:space="preserve">Joining link</t>
  </si>
  <si>
    <t xml:space="preserve">https://meet.google.com/gnp-aita-ohq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</si>
  <si>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</si>
  <si>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</si>
  <si>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</si>
  <si>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</si>
  <si>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</si>
  <si>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</si>
  <si>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</si>
  <si>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</si>
  <si>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</si>
  <si>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</si>
  <si>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</si>
  <si>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</si>
  <si>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</si>
  <si>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341218</t>
  </si>
  <si>
    <t xml:space="preserve">Agentic AI-Based Enterprise Intelligence Architecture for Technology Startup Incubator Optimization</t>
  </si>
  <si>
    <t xml:space="preserve">12:37-12:49</t>
  </si>
  <si>
    <t xml:space="preserve">821614</t>
  </si>
  <si>
    <t xml:space="preserve">AI-Driven Cognitive Decision Intelligence System for Adaptive Enterprise Management Optimization</t>
  </si>
  <si>
    <t xml:space="preserve">12:49-13:01</t>
  </si>
  <si>
    <t xml:space="preserve">599998</t>
  </si>
  <si>
    <t xml:space="preserve">Data-Driven Business Management Systems for Improving Operational Efficiency</t>
  </si>
  <si>
    <t xml:space="preserve">13:01-13:13</t>
  </si>
  <si>
    <t xml:space="preserve">721786</t>
  </si>
  <si>
    <t xml:space="preserve">Benchmarking Explanation Faithfulness in LLM-Based Procurement Decision Support</t>
  </si>
  <si>
    <t xml:space="preserve">13:13-13:25</t>
  </si>
  <si>
    <t xml:space="preserve">190044</t>
  </si>
  <si>
    <t xml:space="preserve">Retrieval-Augmented Generation (RAG) Architecture for Enterprise Knowledge Management Systems</t>
  </si>
  <si>
    <t xml:space="preserve">13:25-13:37</t>
  </si>
  <si>
    <t xml:space="preserve">877864</t>
  </si>
  <si>
    <t xml:space="preserve">InnovaBDA: A Six-Layer Strategic Architecture for Big Data Analytics Adoption and Innovation Capability in Healthcare SMEs</t>
  </si>
  <si>
    <t xml:space="preserve">13:37-13:49</t>
  </si>
  <si>
    <t xml:space="preserve">174702</t>
  </si>
  <si>
    <t xml:space="preserve">VeriPart : Adaptive Vehicle Service Fraud Detection System</t>
  </si>
  <si>
    <t xml:space="preserve">13:49-14:01</t>
  </si>
  <si>
    <t xml:space="preserve">060357</t>
  </si>
  <si>
    <t xml:space="preserve">Scalable AI-Based Decision Analytics for Large-Scale Heterogeneous Data Environments</t>
  </si>
  <si>
    <t xml:space="preserve">14:01-14:13</t>
  </si>
  <si>
    <t xml:space="preserve">635865</t>
  </si>
  <si>
    <t xml:space="preserve">Interpretable Machine Learning Framework for Explainable Decision-Making in High-Dimensional Data Applications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</si>
  <si>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</si>
  <si>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</si>
  <si>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</si>
  <si>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</si>
  <si>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</si>
  <si>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</si>
  <si>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</si>
  <si>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</si>
  <si>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</si>
  <si>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</si>
  <si>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</si>
  <si>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</si>
  <si>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</si>
  <si>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</si>
  <si>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</si>
  <si>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33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</si>
</sst>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15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8" customFormat="false" ht="24" hidden="false" customHeight="false" outlineLevel="0" collapsed="false">
      <c r="A18" s="6" t="n">
        <v>8</v>
      </c>
      <c r="B18" s="6" t="s">
        <v>45</v>
      </c>
      <c r="C18" s="7" t="s">
        <v>46</v>
      </c>
      <c r="D18" s="8" t="s">
        <v>47</v>
      </c>
      <c r="E18" s="9"/>
      <c r="F18" s="10"/>
      <c r="G18" s="9"/>
      <c r="H18" s="9"/>
      <c r="I18" s="9"/>
      <c r="J18" s="11" t="str">
        <f aca="false">IF(COUNT(G18:I18)=0,"",SUM(G18:I18))</f>
        <v/>
      </c>
      <c r="K18" s="9"/>
      <c r="L18" s="10"/>
    </row>
    <row r="19" customFormat="false" ht="24" hidden="false" customHeight="false" outlineLevel="0" collapsed="false">
      <c r="A19" s="6" t="n">
        <v>9</v>
      </c>
      <c r="B19" s="6" t="s">
        <v>48</v>
      </c>
      <c r="C19" s="7" t="s">
        <v>49</v>
      </c>
      <c r="D19" s="8" t="s">
        <v>50</v>
      </c>
      <c r="E19" s="9"/>
      <c r="F19" s="10"/>
      <c r="G19" s="9"/>
      <c r="H19" s="9"/>
      <c r="I19" s="9"/>
      <c r="J19" s="11" t="str">
        <f aca="false">IF(COUNT(G19:I19)=0,"",SUM(G19:I19))</f>
        <v/>
      </c>
      <c r="K19" s="9"/>
      <c r="L19" s="10"/>
    </row>
    <row r="21" customFormat="false" ht="15" hidden="false" customHeight="false" outlineLevel="0" collapsed="false">
      <c r="C21" s="3" t="s">
        <v>51</v>
      </c>
      <c r="D21" s="3"/>
      <c r="E21" s="12" t="n">
        <f aca="false">COUNTA(C11:C19)</f>
        <v>9</v>
      </c>
    </row>
    <row r="22" customFormat="false" ht="15" hidden="false" customHeight="false" outlineLevel="0" collapsed="false">
      <c r="C22" s="3" t="s">
        <v>52</v>
      </c>
      <c r="D22" s="3"/>
      <c r="E22" s="12" t="n">
        <f aca="false">COUNTIF(E11:E19,"Present")</f>
        <v>0</v>
      </c>
    </row>
    <row r="23" customFormat="false" ht="15" hidden="false" customHeight="false" outlineLevel="0" collapsed="false">
      <c r="C23" s="3" t="s">
        <v>53</v>
      </c>
      <c r="D23" s="3"/>
      <c r="E23" s="12" t="n">
        <f aca="false">COUNTIF(E11:E19,"Late")</f>
        <v>0</v>
      </c>
    </row>
    <row r="24" customFormat="false" ht="15" hidden="false" customHeight="false" outlineLevel="0" collapsed="false">
      <c r="C24" s="3" t="s">
        <v>54</v>
      </c>
      <c r="D24" s="3"/>
      <c r="E24" s="12" t="n">
        <f aca="false">COUNTIF(E11:E19,"Absent")</f>
        <v>0</v>
      </c>
    </row>
    <row r="25" customFormat="false" ht="15" hidden="false" customHeight="false" outlineLevel="0" collapsed="false">
      <c r="C25" s="3" t="s">
        <v>55</v>
      </c>
      <c r="D25" s="3"/>
      <c r="E25" s="12" t="n">
        <f aca="false">COUNTA(C11:C19)-COUNTA(E11:E19)</f>
        <v>9</v>
      </c>
    </row>
    <row r="26" customFormat="false" ht="15" hidden="false" customHeight="false" outlineLevel="0" collapsed="false">
      <c r="C26" s="3" t="s">
        <v>56</v>
      </c>
      <c r="D26" s="3"/>
      <c r="E26" s="12" t="n">
        <f aca="false">COUNTIF(K11:K19,"Yes")</f>
        <v>0</v>
      </c>
    </row>
    <row r="28" customFormat="false" ht="15" hidden="false" customHeight="false" outlineLevel="0" collapsed="false">
      <c r="A28" s="3" t="s">
        <v>57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58</v>
      </c>
      <c r="B29" s="3"/>
      <c r="C29" s="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3" t="s">
        <v>59</v>
      </c>
      <c r="B30" s="3"/>
      <c r="C30" s="3"/>
      <c r="D30" s="13"/>
      <c r="E30" s="13"/>
      <c r="F30" s="13"/>
      <c r="G30" s="13"/>
      <c r="H30" s="13"/>
    </row>
    <row r="31" customFormat="false" ht="15" hidden="false" customHeight="false" outlineLevel="0" collapsed="false">
      <c r="A31" s="3" t="s">
        <v>60</v>
      </c>
      <c r="B31" s="3"/>
      <c r="C31" s="3"/>
      <c r="D31" s="13"/>
      <c r="E31" s="13"/>
      <c r="F31" s="13"/>
      <c r="G31" s="13"/>
      <c r="H31" s="13"/>
    </row>
    <row r="32" customFormat="false" ht="39.75" hidden="false" customHeight="true" outlineLevel="0" collapsed="false">
      <c r="A32" s="3" t="s">
        <v>61</v>
      </c>
      <c r="B32" s="3"/>
      <c r="C32" s="3"/>
      <c r="D32" s="13"/>
      <c r="E32" s="13"/>
      <c r="F32" s="13"/>
      <c r="G32" s="13"/>
      <c r="H32" s="13"/>
    </row>
    <row r="34" customFormat="false" ht="25.5" hidden="false" customHeight="true" outlineLevel="0" collapsed="false">
      <c r="A34" s="14" t="s">
        <v>62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63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25.5" hidden="false" customHeight="true" outlineLevel="0" collapsed="false">
      <c r="A37" s="14" t="s">
        <v>65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customFormat="false" ht="25.5" hidden="false" customHeight="true" outlineLevel="0" collapsed="false">
      <c r="A38" s="14" t="s">
        <v>66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21:D21"/>
    <mergeCell ref="C22:D22"/>
    <mergeCell ref="C23:D23"/>
    <mergeCell ref="C24:D24"/>
    <mergeCell ref="C25:D25"/>
    <mergeCell ref="C26:D26"/>
    <mergeCell ref="A28:C28"/>
    <mergeCell ref="D28:H28"/>
    <mergeCell ref="A29:C29"/>
    <mergeCell ref="D29:H29"/>
    <mergeCell ref="A30:C30"/>
    <mergeCell ref="D30:H30"/>
    <mergeCell ref="A31:C31"/>
    <mergeCell ref="D31:H31"/>
    <mergeCell ref="A32:C32"/>
    <mergeCell ref="D32:H32"/>
    <mergeCell ref="A34:L34"/>
    <mergeCell ref="A35:L35"/>
    <mergeCell ref="A36:L36"/>
    <mergeCell ref="A37:L37"/>
    <mergeCell ref="A38:L38"/>
  </mergeCells>
  <dataValidations count="3">
    <dataValidation allowBlank="true" errorStyle="stop" operator="between" showDropDown="false" showErrorMessage="false" showInputMessage="false" sqref="E11:E19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9" type="whole">
      <formula1>0</formula1>
      <formula2>10</formula2>
    </dataValidation>
    <dataValidation allowBlank="true" errorStyle="stop" operator="between" showDropDown="false" showErrorMessage="false" showInputMessage="false" sqref="K11:K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