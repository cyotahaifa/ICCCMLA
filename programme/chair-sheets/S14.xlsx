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14" sheetId="1" state="visible" r:id="rId3"/>
  </sheets>
  <definedNames>
    <definedName function="false" hidden="false" localSheetId="0" name="_xlnm.Print_Titles" vbProcedure="false">'Session 14'!$10:$10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<sst xmlns="http://schemas.openxmlformats.org/spreadsheetml/2006/main" count="58" uniqueCount="58">
  <si>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</si>
  <si>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</si>
  <si>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</si>
  <si>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14 - Methods, Architectures and Model Robustness</t>
  </si>
  <si>
    <t xml:space="preserve">Date and time</t>
  </si>
  <si>
    <t xml:space="preserve">Tuesday, 6 October 2026, 10:00-11:12 IST (Room B)</t>
  </si>
  <si>
    <t xml:space="preserve">Session chair</t>
  </si>
  <si>
    <t xml:space="preserve">Abhishake Reddy Onteddu</t>
  </si>
  <si>
    <t xml:space="preserve">Co-chair</t>
  </si>
  <si>
    <t xml:space="preserve">-</t>
  </si>
  <si>
    <t xml:space="preserve">Joining link</t>
  </si>
  <si>
    <t xml:space="preserve">https://us02web.zoom.us/j/6981896302?pwd=RWtRaTRZNVc5akM4cmNkODNFcTVVdz09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</si>
  <si>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</si>
  <si>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</si>
  <si>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</si>
  <si>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</si>
  <si>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</si>
  <si>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</si>
  <si>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</si>
  <si>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</si>
  <si>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</si>
  <si>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</si>
  <si>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</si>
  <si>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</si>
  <si>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10:00-10:12</t>
  </si>
  <si>
    <t xml:space="preserve">135647</t>
  </si>
  <si>
    <t xml:space="preserve">Systematic Analysis of High-Dimensional Feature Selection via Multi-Objective Optimization: Strategies and Open Challenges</t>
  </si>
  <si>
    <t xml:space="preserve">10:12-10:24</t>
  </si>
  <si>
    <t xml:space="preserve">275280</t>
  </si>
  <si>
    <t xml:space="preserve">Gaussian ReLU Feature Expansion for Nonlinear Discriminant Analysis in High-Dimensional Classification</t>
  </si>
  <si>
    <t xml:space="preserve">10:24-10:36</t>
  </si>
  <si>
    <t xml:space="preserve">566926</t>
  </si>
  <si>
    <t xml:space="preserve">Design of Robust Machine Learning Models for High Accuracy and Generalisation Across Real-World Datasets</t>
  </si>
  <si>
    <t xml:space="preserve">10:36-10:48</t>
  </si>
  <si>
    <t xml:space="preserve">191623</t>
  </si>
  <si>
    <t xml:space="preserve">A Conflict Aware Execution Layer for Multi Agent Reinforcement Learning in Shared Resource Bottleneck Environments</t>
  </si>
  <si>
    <t xml:space="preserve">10:48-11:00</t>
  </si>
  <si>
    <t xml:space="preserve">070710</t>
  </si>
  <si>
    <t xml:space="preserve">Beyond Network Depth: Evaluating the Inception Lineage and Compound-Scaled Architectures for Industrial Visual Inspection</t>
  </si>
  <si>
    <t xml:space="preserve">11:00-11:12</t>
  </si>
  <si>
    <t xml:space="preserve">519264</t>
  </si>
  <si>
    <t xml:space="preserve">Comparing Self-Attention Mechanisms for Multi-Horizon Blood Glucose Forecasting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</si>
  <si>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</si>
  <si>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</si>
  <si>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</si>
  <si>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</si>
  <si>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</si>
  <si>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</si>
  <si>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</si>
  <si>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</si>
  <si>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</si>
  <si>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</si>
  <si>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</si>
  <si>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</si>
  <si>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</si>
  <si>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</si>
  <si>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</si>
  <si>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14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</si>
</sst>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42</v>
      </c>
      <c r="D18" s="3"/>
      <c r="E18" s="12" t="n">
        <f aca="false">COUNTA(C11:C16)</f>
        <v>6</v>
      </c>
    </row>
    <row r="19" customFormat="false" ht="15" hidden="false" customHeight="false" outlineLevel="0" collapsed="false">
      <c r="C19" s="3" t="s">
        <v>43</v>
      </c>
      <c r="D19" s="3"/>
      <c r="E19" s="12" t="n">
        <f aca="false">COUNTIF(E11:E16,"Present")</f>
        <v>0</v>
      </c>
    </row>
    <row r="20" customFormat="false" ht="15" hidden="false" customHeight="false" outlineLevel="0" collapsed="false">
      <c r="C20" s="3" t="s">
        <v>44</v>
      </c>
      <c r="D20" s="3"/>
      <c r="E20" s="12" t="n">
        <f aca="false">COUNTIF(E11:E16,"Late")</f>
        <v>0</v>
      </c>
    </row>
    <row r="21" customFormat="false" ht="15" hidden="false" customHeight="false" outlineLevel="0" collapsed="false">
      <c r="C21" s="3" t="s">
        <v>45</v>
      </c>
      <c r="D21" s="3"/>
      <c r="E21" s="12" t="n">
        <f aca="false">COUNTIF(E11:E16,"Absent")</f>
        <v>0</v>
      </c>
    </row>
    <row r="22" customFormat="false" ht="15" hidden="false" customHeight="false" outlineLevel="0" collapsed="false">
      <c r="C22" s="3" t="s">
        <v>46</v>
      </c>
      <c r="D22" s="3"/>
      <c r="E22" s="12" t="n">
        <f aca="false">COUNTA(C11:C16)-COUNTA(E11:E16)</f>
        <v>6</v>
      </c>
    </row>
    <row r="23" customFormat="false" ht="15" hidden="false" customHeight="false" outlineLevel="0" collapsed="false">
      <c r="C23" s="3" t="s">
        <v>47</v>
      </c>
      <c r="D23" s="3"/>
      <c r="E23" s="12" t="n">
        <f aca="false">COUNTIF(K11:K16,"Yes")</f>
        <v>0</v>
      </c>
    </row>
    <row r="25" customFormat="false" ht="15" hidden="false" customHeight="false" outlineLevel="0" collapsed="false">
      <c r="A25" s="3" t="s">
        <v>48</v>
      </c>
      <c r="B25" s="3"/>
      <c r="C25" s="3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3" t="s">
        <v>49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50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51</v>
      </c>
      <c r="B28" s="3"/>
      <c r="C28" s="3"/>
      <c r="D28" s="13"/>
      <c r="E28" s="13"/>
      <c r="F28" s="13"/>
      <c r="G28" s="13"/>
      <c r="H28" s="13"/>
    </row>
    <row r="29" customFormat="false" ht="39.75" hidden="false" customHeight="true" outlineLevel="0" collapsed="false">
      <c r="A29" s="3" t="s">
        <v>52</v>
      </c>
      <c r="B29" s="3"/>
      <c r="C29" s="3"/>
      <c r="D29" s="13"/>
      <c r="E29" s="13"/>
      <c r="F29" s="13"/>
      <c r="G29" s="13"/>
      <c r="H29" s="13"/>
    </row>
    <row r="31" customFormat="false" ht="25.5" hidden="false" customHeight="true" outlineLevel="0" collapsed="false">
      <c r="A31" s="14" t="s">
        <v>53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25.5" hidden="false" customHeight="true" outlineLevel="0" collapsed="false">
      <c r="A32" s="14" t="s">
        <v>54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55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56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57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2026-10-05T04:11:55Z</dcterms:created>
  <dc:creator>openpyxl</dc:creator>
  <dc:description/>
  <dc:language>en-US</dc:language>
  <cp:lastModifiedBy/>
  <dcterms:modified xsi:type="dcterms:W3CDTF">2026-10-05T04:11:55Z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