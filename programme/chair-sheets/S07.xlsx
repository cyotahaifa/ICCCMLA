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7" sheetId="1" state="visible" r:id="rId3"/>
  </sheets>
  <definedNames>
    <definedName function="false" hidden="false" localSheetId="0" name="_xlnm.Print_Titles" vbProcedure="false">'Session 7'!$10:$10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<sst xmlns="http://schemas.openxmlformats.org/spreadsheetml/2006/main" count="55" uniqueCount="55">
  <si>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</si>
  <si>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</si>
  <si>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</si>
  <si>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7 - Environmental and Geospatial Intelligence</t>
  </si>
  <si>
    <t xml:space="preserve">Date and time</t>
  </si>
  <si>
    <t xml:space="preserve">Monday, 5 October 2026, 12:37-13:37 IST (Room A)</t>
  </si>
  <si>
    <t xml:space="preserve">Session chair</t>
  </si>
  <si>
    <t xml:space="preserve">B. Ramyasri</t>
  </si>
  <si>
    <t xml:space="preserve">Co-chair</t>
  </si>
  <si>
    <t xml:space="preserve">-</t>
  </si>
  <si>
    <t xml:space="preserve">Joining link</t>
  </si>
  <si>
    <t xml:space="preserve">https://meet.google.com/mpi-egii-age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</si>
  <si>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</si>
  <si>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</si>
  <si>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</si>
  <si>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</si>
  <si>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</si>
  <si>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</si>
  <si>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</si>
  <si>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</si>
  <si>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</si>
  <si>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</si>
  <si>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</si>
  <si>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</si>
  <si>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12:37-12:49</t>
  </si>
  <si>
    <t xml:space="preserve">999236</t>
  </si>
  <si>
    <t xml:space="preserve">Event and Source-Aware MLP Framework for PM2.5 Prediction in Indian Urban Environments</t>
  </si>
  <si>
    <t xml:space="preserve">12:49-13:01</t>
  </si>
  <si>
    <t xml:space="preserve">237966</t>
  </si>
  <si>
    <t xml:space="preserve">Microplastic Prediction and Detection in Large Scale Water Bodies</t>
  </si>
  <si>
    <t xml:space="preserve">13:01-13:13</t>
  </si>
  <si>
    <t xml:space="preserve">215428</t>
  </si>
  <si>
    <t xml:space="preserve">A Hybrid Quantum–Classical U-Net Architecture for Methane Leak Detection in Satellite Imagery</t>
  </si>
  <si>
    <t xml:space="preserve">13:13-13:25</t>
  </si>
  <si>
    <t xml:space="preserve">845595</t>
  </si>
  <si>
    <t xml:space="preserve">Explainable Artificial Intelligence-Based Hybrid Modeling Framework for Intelligent and Sustainable Watershed Management</t>
  </si>
  <si>
    <t xml:space="preserve">13:25-13:37</t>
  </si>
  <si>
    <t xml:space="preserve">602952</t>
  </si>
  <si>
    <t xml:space="preserve">Attention-Enhanced UNet++ Framework for Building Footprint Extraction From High-Resolution Cartosat-3 Satellite Imagery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</si>
  <si>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</si>
  <si>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</si>
  <si>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</si>
  <si>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</si>
  <si>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</si>
  <si>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</si>
  <si>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</si>
  <si>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</si>
  <si>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</si>
  <si>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</si>
  <si>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</si>
  <si>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</si>
  <si>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</si>
  <si>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</si>
  <si>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</si>
  <si>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7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</si>
</sst>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35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7" customFormat="false" ht="15" hidden="false" customHeight="false" outlineLevel="0" collapsed="false">
      <c r="C17" s="3" t="s">
        <v>39</v>
      </c>
      <c r="D17" s="3"/>
      <c r="E17" s="12" t="n">
        <f aca="false">COUNTA(C11:C15)</f>
        <v>5</v>
      </c>
    </row>
    <row r="18" customFormat="false" ht="15" hidden="false" customHeight="false" outlineLevel="0" collapsed="false">
      <c r="C18" s="3" t="s">
        <v>40</v>
      </c>
      <c r="D18" s="3"/>
      <c r="E18" s="12" t="n">
        <f aca="false">COUNTIF(E11:E15,"Present")</f>
        <v>0</v>
      </c>
    </row>
    <row r="19" customFormat="false" ht="15" hidden="false" customHeight="false" outlineLevel="0" collapsed="false">
      <c r="C19" s="3" t="s">
        <v>41</v>
      </c>
      <c r="D19" s="3"/>
      <c r="E19" s="12" t="n">
        <f aca="false">COUNTIF(E11:E15,"Late")</f>
        <v>0</v>
      </c>
    </row>
    <row r="20" customFormat="false" ht="15" hidden="false" customHeight="false" outlineLevel="0" collapsed="false">
      <c r="C20" s="3" t="s">
        <v>42</v>
      </c>
      <c r="D20" s="3"/>
      <c r="E20" s="12" t="n">
        <f aca="false">COUNTIF(E11:E15,"Absent")</f>
        <v>0</v>
      </c>
    </row>
    <row r="21" customFormat="false" ht="15" hidden="false" customHeight="false" outlineLevel="0" collapsed="false">
      <c r="C21" s="3" t="s">
        <v>43</v>
      </c>
      <c r="D21" s="3"/>
      <c r="E21" s="12" t="n">
        <f aca="false">COUNTA(C11:C15)-COUNTA(E11:E15)</f>
        <v>5</v>
      </c>
    </row>
    <row r="22" customFormat="false" ht="15" hidden="false" customHeight="false" outlineLevel="0" collapsed="false">
      <c r="C22" s="3" t="s">
        <v>44</v>
      </c>
      <c r="D22" s="3"/>
      <c r="E22" s="12" t="n">
        <f aca="false">COUNTIF(K11:K15,"Yes")</f>
        <v>0</v>
      </c>
    </row>
    <row r="24" customFormat="false" ht="15" hidden="false" customHeight="false" outlineLevel="0" collapsed="false">
      <c r="A24" s="3" t="s">
        <v>45</v>
      </c>
      <c r="B24" s="3"/>
      <c r="C24" s="3"/>
      <c r="D24" s="13"/>
      <c r="E24" s="13"/>
      <c r="F24" s="13"/>
      <c r="G24" s="13"/>
      <c r="H24" s="13"/>
    </row>
    <row r="25" customFormat="false" ht="15" hidden="false" customHeight="false" outlineLevel="0" collapsed="false">
      <c r="A25" s="3" t="s">
        <v>46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47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48</v>
      </c>
      <c r="B27" s="3"/>
      <c r="C27" s="3"/>
      <c r="D27" s="13"/>
      <c r="E27" s="13"/>
      <c r="F27" s="13"/>
      <c r="G27" s="13"/>
      <c r="H27" s="13"/>
    </row>
    <row r="28" customFormat="false" ht="39.75" hidden="false" customHeight="true" outlineLevel="0" collapsed="false">
      <c r="A28" s="3" t="s">
        <v>49</v>
      </c>
      <c r="B28" s="3"/>
      <c r="C28" s="3"/>
      <c r="D28" s="13"/>
      <c r="E28" s="13"/>
      <c r="F28" s="13"/>
      <c r="G28" s="13"/>
      <c r="H28" s="13"/>
    </row>
    <row r="30" customFormat="false" ht="25.5" hidden="false" customHeight="true" outlineLevel="0" collapsed="false">
      <c r="A30" s="14" t="s">
        <v>50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customFormat="false" ht="25.5" hidden="false" customHeight="true" outlineLevel="0" collapsed="false">
      <c r="A31" s="14" t="s">
        <v>51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52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53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54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7:D17"/>
    <mergeCell ref="C18:D18"/>
    <mergeCell ref="C19:D19"/>
    <mergeCell ref="C20:D20"/>
    <mergeCell ref="C21:D21"/>
    <mergeCell ref="C22:D22"/>
    <mergeCell ref="A24:C24"/>
    <mergeCell ref="D24:H24"/>
    <mergeCell ref="A25:C25"/>
    <mergeCell ref="D25:H25"/>
    <mergeCell ref="A26:C26"/>
    <mergeCell ref="D26:H26"/>
    <mergeCell ref="A27:C27"/>
    <mergeCell ref="D27:H27"/>
    <mergeCell ref="A28:C28"/>
    <mergeCell ref="D28:H28"/>
    <mergeCell ref="A30:L30"/>
    <mergeCell ref="A31:L31"/>
    <mergeCell ref="A32:L32"/>
    <mergeCell ref="A33:L33"/>
    <mergeCell ref="A34:L34"/>
  </mergeCells>
  <dataValidations count="3">
    <dataValidation allowBlank="true" errorStyle="stop" operator="between" showDropDown="false" showErrorMessage="false" showInputMessage="false" sqref="E11:E15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5" type="whole">
      <formula1>0</formula1>
      <formula2>10</formula2>
    </dataValidation>
    <dataValidation allowBlank="true" errorStyle="stop" operator="between" showDropDown="false" showErrorMessage="false" showInputMessage="false" sqref="K11:K1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2026-10-04T13:26:47Z</dcterms:created>
  <dc:creator>openpyxl</dc:creator>
  <dc:description/>
  <dc:language>en-US</dc:language>
  <cp:lastModifiedBy/>
  <dcterms:modified xsi:type="dcterms:W3CDTF">2026-10-04T13:26:47Z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