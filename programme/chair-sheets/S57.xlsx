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57" sheetId="1" state="visible" r:id="rId3"/>
  </sheets>
  <definedNames>
    <definedName function="false" hidden="false" localSheetId="0" name="_xlnm.Print_Titles" vbProcedure="false">'Session 57'!$10:$10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<sst xmlns="http://schemas.openxmlformats.org/spreadsheetml/2006/main" count="60" uniqueCount="60">
  <si>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</si>
  <si>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</si>
  <si>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</si>
  <si>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57 - Structural and Mechanical Engineering Systems</t>
  </si>
  <si>
    <t xml:space="preserve">Date and time</t>
  </si>
  <si>
    <t xml:space="preserve">Monday, 5 October 2026, 11:00-12:12 IST (Room O)</t>
  </si>
  <si>
    <t xml:space="preserve">Session chair</t>
  </si>
  <si>
    <t xml:space="preserve">Dr. P. Eswaraiah</t>
  </si>
  <si>
    <t xml:space="preserve">Co-chair</t>
  </si>
  <si>
    <t xml:space="preserve">-</t>
  </si>
  <si>
    <t xml:space="preserve">Joining link</t>
  </si>
  <si>
    <t xml:space="preserve">https://meet.google.com/xcs-mirn-pth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</si>
  <si>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</si>
  <si>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</si>
  <si>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</si>
  <si>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</si>
  <si>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</si>
  <si>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</si>
  <si>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</si>
  <si>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</si>
  <si>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</si>
  <si>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</si>
  <si>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</si>
  <si>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</si>
  <si>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11:00-11:12</t>
  </si>
  <si>
    <t xml:space="preserve">022812</t>
  </si>
  <si>
    <t xml:space="preserve">Comparative Analysis of Mivan and Conventional RCC Buildings</t>
  </si>
  <si>
    <t xml:space="preserve">11:12-11:24</t>
  </si>
  <si>
    <t xml:space="preserve">777603</t>
  </si>
  <si>
    <t xml:space="preserve">Parametric Effect of Wind Load For Different Shape of Tall Building.</t>
  </si>
  <si>
    <t xml:space="preserve">11:24-11:36</t>
  </si>
  <si>
    <t xml:space="preserve">877597</t>
  </si>
  <si>
    <t xml:space="preserve">Seismic Behaviour Assessment of Soft-Storey RC Asymmetric Buildings with and without Masonry Infill Walls Across Indian Seismic Zones</t>
  </si>
  <si>
    <t xml:space="preserve">Moved</t>
  </si>
  <si>
    <t xml:space="preserve">Moved to Tue 6 Oct, Session 43, 12:37 IST - do not mark here</t>
  </si>
  <si>
    <t xml:space="preserve">11:36-11:48</t>
  </si>
  <si>
    <t xml:space="preserve">378288</t>
  </si>
  <si>
    <t xml:space="preserve">Dynamic Response Reduction of a High-Rise RCC Building Using Roof-Level Tuned Mass Damper</t>
  </si>
  <si>
    <t xml:space="preserve">11:48-12:00</t>
  </si>
  <si>
    <t xml:space="preserve">898606</t>
  </si>
  <si>
    <t xml:space="preserve">Effect of the Cracked-Section Stiffness Provision on the Seismic Response of G+15 Reinforced Concrete Residential Building</t>
  </si>
  <si>
    <t xml:space="preserve">12:00-12:12</t>
  </si>
  <si>
    <t xml:space="preserve">523005</t>
  </si>
  <si>
    <t xml:space="preserve">Experimental Investigation on Rotating Disk-Type Oil Separator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</si>
  <si>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</si>
  <si>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</si>
  <si>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</si>
  <si>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</si>
  <si>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</si>
  <si>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</si>
  <si>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</si>
  <si>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</si>
  <si>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</si>
  <si>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</si>
  <si>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</si>
  <si>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</si>
  <si>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</si>
  <si>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</si>
  <si>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</si>
  <si>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57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</si>
</sst>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7F7F7F"/>
      <name val="Arial"/>
      <family val="0"/>
      <charset val="1"/>
    </font>
    <font>
      <strike val="true"/>
      <sz val="10"/>
      <color rgb="FF7F7F7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EDEDED"/>
      </patternFill>
    </fill>
    <fill>
      <patternFill patternType="solid">
        <fgColor rgb="FFE3EFF7"/>
        <bgColor rgb="FFEDEDED"/>
      </patternFill>
    </fill>
    <fill>
      <patternFill patternType="solid">
        <fgColor rgb="FFEDEDED"/>
        <bgColor rgb="FFE3EF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35" hidden="false" customHeight="false" outlineLevel="0" collapsed="false">
      <c r="A13" s="12" t="n">
        <v>3</v>
      </c>
      <c r="B13" s="13" t="s">
        <v>30</v>
      </c>
      <c r="C13" s="14" t="s">
        <v>31</v>
      </c>
      <c r="D13" s="15" t="s">
        <v>32</v>
      </c>
      <c r="E13" s="12" t="s">
        <v>33</v>
      </c>
      <c r="F13" s="16"/>
      <c r="G13" s="12"/>
      <c r="H13" s="12"/>
      <c r="I13" s="12"/>
      <c r="J13" s="12" t="str">
        <f aca="false">IF(COUNT(G13:I13)=0,"",SUM(G13:I13))</f>
        <v/>
      </c>
      <c r="K13" s="12"/>
      <c r="L13" s="16" t="s">
        <v>34</v>
      </c>
    </row>
    <row r="14" customFormat="false" ht="24" hidden="false" customHeight="false" outlineLevel="0" collapsed="false">
      <c r="A14" s="6" t="n">
        <v>4</v>
      </c>
      <c r="B14" s="6" t="s">
        <v>35</v>
      </c>
      <c r="C14" s="7" t="s">
        <v>36</v>
      </c>
      <c r="D14" s="8" t="s">
        <v>37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38</v>
      </c>
      <c r="C15" s="7" t="s">
        <v>39</v>
      </c>
      <c r="D15" s="8" t="s">
        <v>40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15" hidden="false" customHeight="false" outlineLevel="0" collapsed="false">
      <c r="A16" s="6" t="n">
        <v>6</v>
      </c>
      <c r="B16" s="6" t="s">
        <v>41</v>
      </c>
      <c r="C16" s="7" t="s">
        <v>42</v>
      </c>
      <c r="D16" s="8" t="s">
        <v>43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44</v>
      </c>
      <c r="D18" s="3"/>
      <c r="E18" s="17" t="n">
        <f aca="false">COUNTA(C11:C16)-COUNTIF(E11:E16,"Moved")</f>
        <v>5</v>
      </c>
    </row>
    <row r="19" customFormat="false" ht="15" hidden="false" customHeight="false" outlineLevel="0" collapsed="false">
      <c r="C19" s="3" t="s">
        <v>45</v>
      </c>
      <c r="D19" s="3"/>
      <c r="E19" s="17" t="n">
        <f aca="false">COUNTIF(E11:E16,"Present")</f>
        <v>0</v>
      </c>
    </row>
    <row r="20" customFormat="false" ht="15" hidden="false" customHeight="false" outlineLevel="0" collapsed="false">
      <c r="C20" s="3" t="s">
        <v>46</v>
      </c>
      <c r="D20" s="3"/>
      <c r="E20" s="17" t="n">
        <f aca="false">COUNTIF(E11:E16,"Late")</f>
        <v>0</v>
      </c>
    </row>
    <row r="21" customFormat="false" ht="15" hidden="false" customHeight="false" outlineLevel="0" collapsed="false">
      <c r="C21" s="3" t="s">
        <v>47</v>
      </c>
      <c r="D21" s="3"/>
      <c r="E21" s="17" t="n">
        <f aca="false">COUNTIF(E11:E16,"Absent")</f>
        <v>0</v>
      </c>
    </row>
    <row r="22" customFormat="false" ht="15" hidden="false" customHeight="false" outlineLevel="0" collapsed="false">
      <c r="C22" s="3" t="s">
        <v>48</v>
      </c>
      <c r="D22" s="3"/>
      <c r="E22" s="17" t="n">
        <f aca="false">COUNTA(C11:C16)-COUNTA(E11:E16)</f>
        <v>5</v>
      </c>
    </row>
    <row r="23" customFormat="false" ht="15" hidden="false" customHeight="false" outlineLevel="0" collapsed="false">
      <c r="C23" s="3" t="s">
        <v>49</v>
      </c>
      <c r="D23" s="3"/>
      <c r="E23" s="17" t="n">
        <f aca="false">COUNTIF(K11:K16,"Yes")</f>
        <v>0</v>
      </c>
    </row>
    <row r="25" customFormat="false" ht="15" hidden="false" customHeight="false" outlineLevel="0" collapsed="false">
      <c r="A25" s="3" t="s">
        <v>50</v>
      </c>
      <c r="B25" s="3"/>
      <c r="C25" s="3"/>
      <c r="D25" s="18"/>
      <c r="E25" s="18"/>
      <c r="F25" s="18"/>
      <c r="G25" s="18"/>
      <c r="H25" s="18"/>
    </row>
    <row r="26" customFormat="false" ht="15" hidden="false" customHeight="false" outlineLevel="0" collapsed="false">
      <c r="A26" s="3" t="s">
        <v>51</v>
      </c>
      <c r="B26" s="3"/>
      <c r="C26" s="3"/>
      <c r="D26" s="18"/>
      <c r="E26" s="18"/>
      <c r="F26" s="18"/>
      <c r="G26" s="18"/>
      <c r="H26" s="18"/>
    </row>
    <row r="27" customFormat="false" ht="15" hidden="false" customHeight="false" outlineLevel="0" collapsed="false">
      <c r="A27" s="3" t="s">
        <v>52</v>
      </c>
      <c r="B27" s="3"/>
      <c r="C27" s="3"/>
      <c r="D27" s="18"/>
      <c r="E27" s="18"/>
      <c r="F27" s="18"/>
      <c r="G27" s="18"/>
      <c r="H27" s="18"/>
    </row>
    <row r="28" customFormat="false" ht="15" hidden="false" customHeight="false" outlineLevel="0" collapsed="false">
      <c r="A28" s="3" t="s">
        <v>53</v>
      </c>
      <c r="B28" s="3"/>
      <c r="C28" s="3"/>
      <c r="D28" s="18"/>
      <c r="E28" s="18"/>
      <c r="F28" s="18"/>
      <c r="G28" s="18"/>
      <c r="H28" s="18"/>
    </row>
    <row r="29" customFormat="false" ht="39.75" hidden="false" customHeight="true" outlineLevel="0" collapsed="false">
      <c r="A29" s="3" t="s">
        <v>54</v>
      </c>
      <c r="B29" s="3"/>
      <c r="C29" s="3"/>
      <c r="D29" s="18"/>
      <c r="E29" s="18"/>
      <c r="F29" s="18"/>
      <c r="G29" s="18"/>
      <c r="H29" s="18"/>
    </row>
    <row r="31" customFormat="false" ht="25.5" hidden="false" customHeight="true" outlineLevel="0" collapsed="false">
      <c r="A31" s="19" t="s">
        <v>55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</row>
    <row r="32" customFormat="false" ht="25.5" hidden="false" customHeight="true" outlineLevel="0" collapsed="false">
      <c r="A32" s="19" t="s">
        <v>56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</row>
    <row r="33" customFormat="false" ht="25.5" hidden="false" customHeight="true" outlineLevel="0" collapsed="false">
      <c r="A33" s="19" t="s">
        <v>57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customFormat="false" ht="25.5" hidden="false" customHeight="true" outlineLevel="0" collapsed="false">
      <c r="A34" s="19" t="s">
        <v>58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customFormat="false" ht="25.5" hidden="false" customHeight="true" outlineLevel="0" collapsed="false">
      <c r="A35" s="19" t="s">
        <v>59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2026-10-06T03:56:39Z</dcterms:created>
  <dc:creator>openpyxl</dc:creator>
  <dc:description/>
  <dc:language>en-US</dc:language>
  <cp:lastModifiedBy/>
  <dcterms:modified xsi:type="dcterms:W3CDTF">2026-10-06T03:56:39Z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