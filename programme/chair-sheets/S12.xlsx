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12" sheetId="1" state="visible" r:id="rId3"/>
  </sheets>
  <definedNames>
    <definedName function="false" hidden="false" localSheetId="0" name="_xlnm.Print_Titles" vbProcedure="false">'Session 12'!$10:$10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<sst xmlns="http://schemas.openxmlformats.org/spreadsheetml/2006/main" count="61" uniqueCount="61">
  <si>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</si>
  <si>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</si>
  <si>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</si>
  <si>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12 - Learning Analytics, Assessment and Inclusive Education</t>
  </si>
  <si>
    <t xml:space="preserve">Date and time</t>
  </si>
  <si>
    <t xml:space="preserve">Monday, 5 October 2026, 12:25-13:49 IST (Room F)</t>
  </si>
  <si>
    <t xml:space="preserve">Session chair</t>
  </si>
  <si>
    <t xml:space="preserve">Dr. KiranKumar Eranki</t>
  </si>
  <si>
    <t xml:space="preserve">Co-chair</t>
  </si>
  <si>
    <t xml:space="preserve">-</t>
  </si>
  <si>
    <t xml:space="preserve">Joining link</t>
  </si>
  <si>
    <t xml:space="preserve">https://meet.google.com/bnk-rpeo-ryq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</si>
  <si>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</si>
  <si>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</si>
  <si>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</si>
  <si>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</si>
  <si>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</si>
  <si>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</si>
  <si>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</si>
  <si>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</si>
  <si>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</si>
  <si>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</si>
  <si>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</si>
  <si>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</si>
  <si>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12:25-12:37</t>
  </si>
  <si>
    <t xml:space="preserve">590831</t>
  </si>
  <si>
    <t xml:space="preserve">Early Detection of Student Learning Issues Using Multimodal Learning Analytics</t>
  </si>
  <si>
    <t xml:space="preserve">12:37-12:49</t>
  </si>
  <si>
    <t xml:space="preserve">647226</t>
  </si>
  <si>
    <t xml:space="preserve">An Artificial Intelligence-Based Framework for CO–PO Attainment Prediction and Academic Performance Analytics</t>
  </si>
  <si>
    <t xml:space="preserve">12:49-13:01</t>
  </si>
  <si>
    <t xml:space="preserve">169514</t>
  </si>
  <si>
    <t xml:space="preserve">FaceWave-Absence Management</t>
  </si>
  <si>
    <t xml:space="preserve">13:01-13:13</t>
  </si>
  <si>
    <t xml:space="preserve">691747</t>
  </si>
  <si>
    <t xml:space="preserve">Explainable and Robust Machine Learning Models for Decision Support Systems in Healthcare and Education: A Review</t>
  </si>
  <si>
    <t xml:space="preserve">13:13-13:25</t>
  </si>
  <si>
    <t xml:space="preserve">228339</t>
  </si>
  <si>
    <t xml:space="preserve">A Multimodal Dataset-Driven Machine Learning Framework for Autism Spectrum Disorder Detection and Severity Classification</t>
  </si>
  <si>
    <t xml:space="preserve">13:25-13:37</t>
  </si>
  <si>
    <t xml:space="preserve">546137</t>
  </si>
  <si>
    <t xml:space="preserve">Leakage-Corrected Machine Learning for Autism Spectrum Disorder Screening Using the AQ-10 Questionnaire</t>
  </si>
  <si>
    <t xml:space="preserve">13:37-13:49</t>
  </si>
  <si>
    <t xml:space="preserve">650920</t>
  </si>
  <si>
    <t xml:space="preserve">Machine Learning-Enhanced Web OPAC Performance Evaluation: An Intelligent Framework for Academic Library Assessment in IIT Libraries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</si>
  <si>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</si>
  <si>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</si>
  <si>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</si>
  <si>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</si>
  <si>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</si>
  <si>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</si>
  <si>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</si>
  <si>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</si>
  <si>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</si>
  <si>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</si>
  <si>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</si>
  <si>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</si>
  <si>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</si>
  <si>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</si>
  <si>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</si>
  <si>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12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</si>
</sst>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15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7" customFormat="false" ht="35" hidden="false" customHeight="false" outlineLevel="0" collapsed="false">
      <c r="A17" s="6" t="n">
        <v>7</v>
      </c>
      <c r="B17" s="6" t="s">
        <v>42</v>
      </c>
      <c r="C17" s="7" t="s">
        <v>43</v>
      </c>
      <c r="D17" s="8" t="s">
        <v>44</v>
      </c>
      <c r="E17" s="9"/>
      <c r="F17" s="10"/>
      <c r="G17" s="9"/>
      <c r="H17" s="9"/>
      <c r="I17" s="9"/>
      <c r="J17" s="11" t="str">
        <f aca="false">IF(COUNT(G17:I17)=0,"",SUM(G17:I17))</f>
        <v/>
      </c>
      <c r="K17" s="9"/>
      <c r="L17" s="10"/>
    </row>
    <row r="19" customFormat="false" ht="15" hidden="false" customHeight="false" outlineLevel="0" collapsed="false">
      <c r="C19" s="3" t="s">
        <v>45</v>
      </c>
      <c r="D19" s="3"/>
      <c r="E19" s="12" t="n">
        <f aca="false">COUNTA(C11:C17)</f>
        <v>7</v>
      </c>
    </row>
    <row r="20" customFormat="false" ht="15" hidden="false" customHeight="false" outlineLevel="0" collapsed="false">
      <c r="C20" s="3" t="s">
        <v>46</v>
      </c>
      <c r="D20" s="3"/>
      <c r="E20" s="12" t="n">
        <f aca="false">COUNTIF(E11:E17,"Present")</f>
        <v>0</v>
      </c>
    </row>
    <row r="21" customFormat="false" ht="15" hidden="false" customHeight="false" outlineLevel="0" collapsed="false">
      <c r="C21" s="3" t="s">
        <v>47</v>
      </c>
      <c r="D21" s="3"/>
      <c r="E21" s="12" t="n">
        <f aca="false">COUNTIF(E11:E17,"Late")</f>
        <v>0</v>
      </c>
    </row>
    <row r="22" customFormat="false" ht="15" hidden="false" customHeight="false" outlineLevel="0" collapsed="false">
      <c r="C22" s="3" t="s">
        <v>48</v>
      </c>
      <c r="D22" s="3"/>
      <c r="E22" s="12" t="n">
        <f aca="false">COUNTIF(E11:E17,"Absent")</f>
        <v>0</v>
      </c>
    </row>
    <row r="23" customFormat="false" ht="15" hidden="false" customHeight="false" outlineLevel="0" collapsed="false">
      <c r="C23" s="3" t="s">
        <v>49</v>
      </c>
      <c r="D23" s="3"/>
      <c r="E23" s="12" t="n">
        <f aca="false">COUNTA(C11:C17)-COUNTA(E11:E17)</f>
        <v>7</v>
      </c>
    </row>
    <row r="24" customFormat="false" ht="15" hidden="false" customHeight="false" outlineLevel="0" collapsed="false">
      <c r="C24" s="3" t="s">
        <v>50</v>
      </c>
      <c r="D24" s="3"/>
      <c r="E24" s="12" t="n">
        <f aca="false">COUNTIF(K11:K17,"Yes")</f>
        <v>0</v>
      </c>
    </row>
    <row r="26" customFormat="false" ht="15" hidden="false" customHeight="false" outlineLevel="0" collapsed="false">
      <c r="A26" s="3" t="s">
        <v>51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52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53</v>
      </c>
      <c r="B28" s="3"/>
      <c r="C28" s="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3" t="s">
        <v>54</v>
      </c>
      <c r="B29" s="3"/>
      <c r="C29" s="3"/>
      <c r="D29" s="13"/>
      <c r="E29" s="13"/>
      <c r="F29" s="13"/>
      <c r="G29" s="13"/>
      <c r="H29" s="13"/>
    </row>
    <row r="30" customFormat="false" ht="39.75" hidden="false" customHeight="true" outlineLevel="0" collapsed="false">
      <c r="A30" s="3" t="s">
        <v>55</v>
      </c>
      <c r="B30" s="3"/>
      <c r="C30" s="3"/>
      <c r="D30" s="13"/>
      <c r="E30" s="13"/>
      <c r="F30" s="13"/>
      <c r="G30" s="13"/>
      <c r="H30" s="13"/>
    </row>
    <row r="32" customFormat="false" ht="25.5" hidden="false" customHeight="true" outlineLevel="0" collapsed="false">
      <c r="A32" s="14" t="s">
        <v>56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25.5" hidden="false" customHeight="true" outlineLevel="0" collapsed="false">
      <c r="A36" s="14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9:D19"/>
    <mergeCell ref="C20:D20"/>
    <mergeCell ref="C21:D21"/>
    <mergeCell ref="C22:D22"/>
    <mergeCell ref="C23:D23"/>
    <mergeCell ref="C24:D24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2:L32"/>
    <mergeCell ref="A33:L33"/>
    <mergeCell ref="A34:L34"/>
    <mergeCell ref="A35:L35"/>
    <mergeCell ref="A36:L36"/>
  </mergeCells>
  <dataValidations count="3">
    <dataValidation allowBlank="true" errorStyle="stop" operator="between" showDropDown="false" showErrorMessage="false" showInputMessage="false" sqref="E11:E17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7" type="whole">
      <formula1>0</formula1>
      <formula2>10</formula2>
    </dataValidation>
    <dataValidation allowBlank="true" errorStyle="stop" operator="between" showDropDown="false" showErrorMessage="false" showInputMessage="false" sqref="K11:K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2026-10-04T13:26:46Z</dcterms:created>
  <dc:creator>openpyxl</dc:creator>
  <dc:description/>
  <dc:language>en-US</dc:language>
  <cp:lastModifiedBy/>
  <dcterms:modified xsi:type="dcterms:W3CDTF">2026-10-04T13:26:46Z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