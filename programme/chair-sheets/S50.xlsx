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0" sheetId="1" state="visible" r:id="rId3"/>
  </sheets>
  <definedNames>
    <definedName function="false" hidden="false" localSheetId="0" name="_xlnm.Print_Titles" vbProcedure="false">'Session 50'!$10:$10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<sst xmlns="http://schemas.openxmlformats.org/spreadsheetml/2006/main" count="64" uniqueCount="64">
  <si>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</si>
  <si>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</si>
  <si>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</si>
  <si>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50 - Network Behaviour and Intrusion Detection</t>
  </si>
  <si>
    <t xml:space="preserve">Date and time</t>
  </si>
  <si>
    <t xml:space="preserve">Monday, 5 October 2026, 12:25-14:01 IST (Room N)</t>
  </si>
  <si>
    <t xml:space="preserve">Session chair</t>
  </si>
  <si>
    <t xml:space="preserve">Dr. S. Sunil</t>
  </si>
  <si>
    <t xml:space="preserve">Co-chair</t>
  </si>
  <si>
    <t xml:space="preserve">-</t>
  </si>
  <si>
    <t xml:space="preserve">Joining link</t>
  </si>
  <si>
    <t xml:space="preserve">https://meet.google.com/scz-mfrh-tof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</si>
  <si>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</si>
  <si>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</si>
  <si>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</si>
  <si>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</si>
  <si>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</si>
  <si>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</si>
  <si>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</si>
  <si>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</si>
  <si>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</si>
  <si>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</si>
  <si>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</si>
  <si>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</si>
  <si>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</si>
  <si>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814961</t>
  </si>
  <si>
    <t xml:space="preserve">Real-Time Network Behavior Profiling Using Statistical Flow</t>
  </si>
  <si>
    <t xml:space="preserve">12:37-12:49</t>
  </si>
  <si>
    <t xml:space="preserve">295401</t>
  </si>
  <si>
    <t xml:space="preserve">Federated Multimodal Transformer for Privacy-Preserving Coordinated Attack Detection</t>
  </si>
  <si>
    <t xml:space="preserve">12:49-13:01</t>
  </si>
  <si>
    <t xml:space="preserve">102862</t>
  </si>
  <si>
    <t xml:space="preserve">Integrating Convolutional and Recurrent Neural Networks for Advanced Intrusion Detection: A Hybrid CNN-GRU Approach</t>
  </si>
  <si>
    <t xml:space="preserve">13:01-13:13</t>
  </si>
  <si>
    <t xml:space="preserve">838483</t>
  </si>
  <si>
    <t xml:space="preserve">Hybrid Explainable Transformer Framework for Real-Time Zero-Day Phishing Domain Detection</t>
  </si>
  <si>
    <t xml:space="preserve">13:13-13:25</t>
  </si>
  <si>
    <t xml:space="preserve">859975</t>
  </si>
  <si>
    <t xml:space="preserve">AI-Powered Security Orchestration, Automation and Incident Response Workflows</t>
  </si>
  <si>
    <t xml:space="preserve">13:25-13:37</t>
  </si>
  <si>
    <t xml:space="preserve">568460</t>
  </si>
  <si>
    <t xml:space="preserve">Congestion-Aware Optimal Parent Node Selection Using Chaotic-Adaptive Grey Wolf Optimization for Energy-Efficient IoT Routing</t>
  </si>
  <si>
    <t xml:space="preserve">13:37-13:49</t>
  </si>
  <si>
    <t xml:space="preserve">390145</t>
  </si>
  <si>
    <t xml:space="preserve">Detection of False Data Injection Attacks in Smart Grids Using Wavelet Transform and Adaptive Boosting</t>
  </si>
  <si>
    <t xml:space="preserve">13:49-14:01</t>
  </si>
  <si>
    <t xml:space="preserve">279137</t>
  </si>
  <si>
    <t xml:space="preserve">Deep Learning-Assisted Congestion Control in Wireless Sensor Networks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</si>
  <si>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</si>
  <si>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</si>
  <si>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</si>
  <si>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</si>
  <si>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</si>
  <si>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</si>
  <si>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</si>
  <si>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</si>
  <si>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</si>
  <si>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</si>
  <si>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</si>
  <si>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</si>
  <si>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</si>
  <si>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</si>
  <si>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</si>
  <si>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50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</si>
</sst>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1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8" customFormat="false" ht="24" hidden="false" customHeight="false" outlineLevel="0" collapsed="false">
      <c r="A18" s="6" t="n">
        <v>8</v>
      </c>
      <c r="B18" s="6" t="s">
        <v>45</v>
      </c>
      <c r="C18" s="7" t="s">
        <v>46</v>
      </c>
      <c r="D18" s="8" t="s">
        <v>47</v>
      </c>
      <c r="E18" s="9"/>
      <c r="F18" s="10"/>
      <c r="G18" s="9"/>
      <c r="H18" s="9"/>
      <c r="I18" s="9"/>
      <c r="J18" s="11" t="str">
        <f aca="false">IF(COUNT(G18:I18)=0,"",SUM(G18:I18))</f>
        <v/>
      </c>
      <c r="K18" s="9"/>
      <c r="L18" s="10"/>
    </row>
    <row r="20" customFormat="false" ht="15" hidden="false" customHeight="false" outlineLevel="0" collapsed="false">
      <c r="C20" s="3" t="s">
        <v>48</v>
      </c>
      <c r="D20" s="3"/>
      <c r="E20" s="12" t="n">
        <f aca="false">COUNTA(C11:C18)</f>
        <v>8</v>
      </c>
    </row>
    <row r="21" customFormat="false" ht="15" hidden="false" customHeight="false" outlineLevel="0" collapsed="false">
      <c r="C21" s="3" t="s">
        <v>49</v>
      </c>
      <c r="D21" s="3"/>
      <c r="E21" s="12" t="n">
        <f aca="false">COUNTIF(E11:E18,"Present")</f>
        <v>0</v>
      </c>
    </row>
    <row r="22" customFormat="false" ht="15" hidden="false" customHeight="false" outlineLevel="0" collapsed="false">
      <c r="C22" s="3" t="s">
        <v>50</v>
      </c>
      <c r="D22" s="3"/>
      <c r="E22" s="12" t="n">
        <f aca="false">COUNTIF(E11:E18,"Late")</f>
        <v>0</v>
      </c>
    </row>
    <row r="23" customFormat="false" ht="15" hidden="false" customHeight="false" outlineLevel="0" collapsed="false">
      <c r="C23" s="3" t="s">
        <v>51</v>
      </c>
      <c r="D23" s="3"/>
      <c r="E23" s="12" t="n">
        <f aca="false">COUNTIF(E11:E18,"Absent")</f>
        <v>0</v>
      </c>
    </row>
    <row r="24" customFormat="false" ht="15" hidden="false" customHeight="false" outlineLevel="0" collapsed="false">
      <c r="C24" s="3" t="s">
        <v>52</v>
      </c>
      <c r="D24" s="3"/>
      <c r="E24" s="12" t="n">
        <f aca="false">COUNTA(C11:C18)-COUNTA(E11:E18)</f>
        <v>8</v>
      </c>
    </row>
    <row r="25" customFormat="false" ht="15" hidden="false" customHeight="false" outlineLevel="0" collapsed="false">
      <c r="C25" s="3" t="s">
        <v>53</v>
      </c>
      <c r="D25" s="3"/>
      <c r="E25" s="12" t="n">
        <f aca="false">COUNTIF(K11:K18,"Yes")</f>
        <v>0</v>
      </c>
    </row>
    <row r="27" customFormat="false" ht="15" hidden="false" customHeight="false" outlineLevel="0" collapsed="false">
      <c r="A27" s="3" t="s">
        <v>54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55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56</v>
      </c>
      <c r="B29" s="3"/>
      <c r="C29" s="3"/>
      <c r="D29" s="13"/>
      <c r="E29" s="13"/>
      <c r="F29" s="13"/>
      <c r="G29" s="13"/>
      <c r="H29" s="13"/>
    </row>
    <row r="30" customFormat="false" ht="15" hidden="false" customHeight="false" outlineLevel="0" collapsed="false">
      <c r="A30" s="3" t="s">
        <v>57</v>
      </c>
      <c r="B30" s="3"/>
      <c r="C30" s="3"/>
      <c r="D30" s="13"/>
      <c r="E30" s="13"/>
      <c r="F30" s="13"/>
      <c r="G30" s="13"/>
      <c r="H30" s="13"/>
    </row>
    <row r="31" customFormat="false" ht="39.75" hidden="false" customHeight="true" outlineLevel="0" collapsed="false">
      <c r="A31" s="3" t="s">
        <v>58</v>
      </c>
      <c r="B31" s="3"/>
      <c r="C31" s="3"/>
      <c r="D31" s="13"/>
      <c r="E31" s="13"/>
      <c r="F31" s="13"/>
      <c r="G31" s="13"/>
      <c r="H31" s="13"/>
    </row>
    <row r="33" customFormat="false" ht="25.5" hidden="false" customHeight="true" outlineLevel="0" collapsed="false">
      <c r="A33" s="14" t="s">
        <v>59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60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61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62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customFormat="false" ht="25.5" hidden="false" customHeight="true" outlineLevel="0" collapsed="false">
      <c r="A37" s="14" t="s">
        <v>63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20:D20"/>
    <mergeCell ref="C21:D21"/>
    <mergeCell ref="C22:D22"/>
    <mergeCell ref="C23:D23"/>
    <mergeCell ref="C24:D24"/>
    <mergeCell ref="C25:D25"/>
    <mergeCell ref="A27:C27"/>
    <mergeCell ref="D27:H27"/>
    <mergeCell ref="A28:C28"/>
    <mergeCell ref="D28:H28"/>
    <mergeCell ref="A29:C29"/>
    <mergeCell ref="D29:H29"/>
    <mergeCell ref="A30:C30"/>
    <mergeCell ref="D30:H30"/>
    <mergeCell ref="A31:C31"/>
    <mergeCell ref="D31:H31"/>
    <mergeCell ref="A33:L33"/>
    <mergeCell ref="A34:L34"/>
    <mergeCell ref="A35:L35"/>
    <mergeCell ref="A36:L36"/>
    <mergeCell ref="A37:L37"/>
  </mergeCells>
  <dataValidations count="3">
    <dataValidation allowBlank="true" errorStyle="stop" operator="between" showDropDown="false" showErrorMessage="false" showInputMessage="false" sqref="E11:E18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8" type="whole">
      <formula1>0</formula1>
      <formula2>10</formula2>
    </dataValidation>
    <dataValidation allowBlank="true" errorStyle="stop" operator="between" showDropDown="false" showErrorMessage="false" showInputMessage="false" sqref="K11:K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